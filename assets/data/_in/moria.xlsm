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sheet.main+xml"/>
  <Override PartName="/xl/theme/theme1.xml" ContentType="application/vnd.openxmlformats-officedocument.theme+xml"/>
  <Override PartName="/docProps/app.xml" ContentType="application/vnd.openxmlformats-officedocument.extended-properties+xml"/>
  <Override PartName="/docProps/core.xml" ContentType="application/vnd.openxmlformats-package.core-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styles.xml" ContentType="application/vnd.openxmlformats-officedocument.spreadsheetml.styles+xml"/>
  <Override PartName="/xl/sharedStrings.xml" ContentType="application/vnd.openxmlformats-officedocument.spreadsheetml.sharedStrings+xml"/>
  <Override PartName="/xl/externalLinks/externalLink1.xml" ContentType="application/vnd.openxmlformats-officedocument.spreadsheetml.externalLink+xml"/>
  <Override PartName="/xl/calcChain.xml" ContentType="application/vnd.openxmlformats-officedocument.spreadsheetml.calcChain+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10="http://schemas.microsoft.com/office/spreadsheetml/2016/revision10" xmlns:xr2="http://schemas.microsoft.com/office/spreadsheetml/2015/revision2" xmlns:xr6="http://schemas.microsoft.com/office/spreadsheetml/2016/revision6" mc:Ignorable="x15 xr xr6 xr10 xr2">
  <fileVersion appName="xl" lastEdited="7" lowestEdited="7" rupBuild="20341"/>
  <workbookPr defaultThemeVersion="166925"/>
  <mc:AlternateContent xmlns:mc="http://schemas.openxmlformats.org/markup-compatibility/2006">
    <mc:Choice Requires="x15">
      <x15ac:absPath xmlns:x15ac="http://schemas.microsoft.com/office/spreadsheetml/2010/11/ac" url="\\hratalvfs\PublicMate\Tikshuv\erp\All\ענף מערכות מידע לוגיסטיות\מדורים\מדור פרוייקטים ומרה''ס\תיקיות אישיות\איתן כץ\projects\data\"/>
    </mc:Choice>
  </mc:AlternateContent>
  <bookViews>
    <workbookView xWindow="0" yWindow="0" windowWidth="28800" windowHeight="12225" activeTab="0"/>
  </bookViews>
  <sheets>
    <sheet name="SM" sheetId="1" r:id="rId2"/>
    <sheet name="SCM" sheetId="2" r:id="rId3"/>
    <sheet name="SM_text" sheetId="3" r:id="rId4"/>
    <sheet name="SCM_text" sheetId="4" r:id="rId5"/>
    <sheet name="Sheet1" sheetId="5" r:id="rId6"/>
  </sheets>
  <externalReferences>
    <externalReference r:id="rId9"/>
  </externalReferences>
  <definedNames>
    <definedName name="_xlnm._FilterDatabase" localSheetId="1" hidden="1">SCM!$A$1:$U$21</definedName>
    <definedName name="_xlnm._FilterDatabase" localSheetId="3" hidden="1">SCM_text!$A$1:$U$11</definedName>
    <definedName name="moshe">GET.CELL(38,'[1]סבב חתימות - מלאי'!A1)</definedName>
    <definedName name="moshe1">GET.CELL(38,'[1]סבב חתימות - שרשרת'!A1)</definedName>
    <definedName name="moshe3">GET.CELL(38,Sheet1!XFD1)</definedName>
  </definedNames>
  <calcPr fullCalcOn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18" i="1" l="1"/>
</calcChain>
</file>

<file path=xl/sharedStrings.xml><?xml version="1.0" encoding="utf-8"?>
<sst xmlns="http://schemas.openxmlformats.org/spreadsheetml/2006/main" count="222" uniqueCount="62">
  <si>
    <t>מדור מוביל</t>
  </si>
  <si>
    <t>תהליך</t>
  </si>
  <si>
    <t>01: מלאי ואחסנה</t>
  </si>
  <si>
    <t>02.04: ויסות פנים ובין מרחבים</t>
  </si>
  <si>
    <t>01.05: ויסותים פנימיים</t>
  </si>
  <si>
    <t>01.02: ערכות</t>
  </si>
  <si>
    <t>01.03: חיובים וזיכויים</t>
  </si>
  <si>
    <t>01.04: השקעות ופירוקים</t>
  </si>
  <si>
    <t>01.06: אחסנה</t>
  </si>
  <si>
    <t>01.07: חוקת המלאי</t>
  </si>
  <si>
    <t>02.21: רענון ערכות של יחידות</t>
  </si>
  <si>
    <t>01.09: 1003</t>
  </si>
  <si>
    <t>01.01: קבלה מרכש</t>
  </si>
  <si>
    <t>01.11: ספירות מלאי, טיפול בהפרשים ואובדנים</t>
  </si>
  <si>
    <t>01.12: מכירה וגריטה</t>
  </si>
  <si>
    <t>01.14: מבנה ארגוני</t>
  </si>
  <si>
    <t>01.15: כושרים</t>
  </si>
  <si>
    <t>01.16: המרות טכניות</t>
  </si>
  <si>
    <t>01.17: סדרות</t>
  </si>
  <si>
    <t>01.18: בימ"לים</t>
  </si>
  <si>
    <t>רמד יישום</t>
  </si>
  <si>
    <t>רמ"ד אמלח</t>
  </si>
  <si>
    <t>ישראל שכטר</t>
  </si>
  <si>
    <t>גלית שלם</t>
  </si>
  <si>
    <t>אלכס אלכס</t>
  </si>
  <si>
    <t>שרון רחמים</t>
  </si>
  <si>
    <t>גלית אדרי</t>
  </si>
  <si>
    <t>תקווה רובינציק</t>
  </si>
  <si>
    <t>אבי פרישמן</t>
  </si>
  <si>
    <t>ניר בשן</t>
  </si>
  <si>
    <t>שגיב שרביט</t>
  </si>
  <si>
    <t>location</t>
  </si>
  <si>
    <t>moria location</t>
  </si>
  <si>
    <t>02: שרשרת אספקה</t>
  </si>
  <si>
    <t>02.01: מבנה ארגוני -  שרשרת</t>
  </si>
  <si>
    <t>פריאל</t>
  </si>
  <si>
    <t>02.02: אספקה ליחידות</t>
  </si>
  <si>
    <t>02.18: טיפול בהפרשים</t>
  </si>
  <si>
    <t>02.06: החזרות מיחידות</t>
  </si>
  <si>
    <t>תהילה</t>
  </si>
  <si>
    <t>02.08: מכירות</t>
  </si>
  <si>
    <t>02.11: החלפות</t>
  </si>
  <si>
    <t>02.12: תיקונים</t>
  </si>
  <si>
    <t>02.13: השאלות</t>
  </si>
  <si>
    <t>02.23: MRP</t>
  </si>
  <si>
    <t>02.24: אספקה ללא סימוכין</t>
  </si>
  <si>
    <t>סוקרי מפקדת</t>
  </si>
  <si>
    <t>חטלו"ג</t>
  </si>
  <si>
    <t>מקל"ר</t>
  </si>
  <si>
    <t>ק- אמלח</t>
  </si>
  <si>
    <t>גדי מליחי</t>
  </si>
  <si>
    <t>סוקרי מנהלת</t>
  </si>
  <si>
    <t xml:space="preserve"> </t>
  </si>
  <si>
    <t>טרם החל</t>
  </si>
  <si>
    <t>בסקירה</t>
  </si>
  <si>
    <t>חזר עם הערות</t>
  </si>
  <si>
    <t>נחתם</t>
  </si>
  <si>
    <t>לא רלוונטי</t>
  </si>
  <si>
    <t>06: קטלוג</t>
  </si>
  <si>
    <t>06.01: מבנה ארגוני - קטלוג</t>
  </si>
  <si>
    <t>קטיה</t>
  </si>
  <si>
    <t>06.03: קטלוג צרכי מדורים</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</si>
</sst>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Calibri"/>
      <family val="2"/>
      <scheme val="minor"/>
    </font>
    <font>
      <sz val="10"/>
      <color theme="1"/>
      <name val="Arial"/>
      <family val="2"/>
    </font>
    <font>
      <sz val="12"/>
      <color theme="1"/>
      <name val="Arial"/>
      <family val="2"/>
    </font>
    <font>
      <sz val="11"/>
      <color rgb="FF006100"/>
      <name val="Calibri"/>
      <family val="2"/>
      <scheme val="minor"/>
    </font>
  </fonts>
  <fills count="9">
    <fill>
      <patternFill patternType="none"/>
    </fill>
    <fill>
      <patternFill patternType="gray125"/>
    </fill>
    <fill>
      <patternFill patternType="solid">
        <fgColor rgb="FFC6EFCE"/>
        <bgColor indexed="64"/>
      </patternFill>
    </fill>
    <fill>
      <patternFill patternType="solid">
        <fgColor theme="0" tint="-0.04997"/>
        <bgColor indexed="64"/>
      </patternFill>
    </fill>
    <fill>
      <patternFill patternType="solid">
        <fgColor theme="0" tint="-0.14998"/>
        <bgColor indexed="64"/>
      </patternFill>
    </fill>
    <fill>
      <patternFill patternType="solid">
        <fgColor rgb="FFFF7C80"/>
        <bgColor indexed="64"/>
      </patternFill>
    </fill>
    <fill>
      <patternFill patternType="solid">
        <fgColor theme="4" tint="0.39998"/>
        <bgColor indexed="64"/>
      </patternFill>
    </fill>
    <fill>
      <patternFill patternType="solid">
        <fgColor rgb="FFFFC000"/>
        <bgColor indexed="64"/>
      </patternFill>
    </fill>
    <fill>
      <patternFill patternType="solid">
        <fgColor rgb="FF92D050"/>
        <bgColor indexed="64"/>
      </patternFill>
    </fill>
  </fills>
  <borders count="2">
    <border>
      <left/>
      <right/>
      <top/>
      <bottom/>
      <diagonal/>
    </border>
    <border>
      <left style="thin">
        <color auto="1"/>
      </left>
      <right style="thin">
        <color auto="1"/>
      </right>
      <top style="thin">
        <color auto="1"/>
      </top>
      <bottom style="thin">
        <color auto="1"/>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3" fillId="2" borderId="0" applyNumberFormat="0" applyBorder="0" applyAlignment="0" applyProtection="0"/>
  </cellStyleXfs>
  <cellXfs count="28">
    <xf numFmtId="0" fontId="0" fillId="0" borderId="0" xfId="0"/>
    <xf numFmtId="0" fontId="0" fillId="0" borderId="0" xfId="0" applyAlignment="1">
      <alignment vertical="center" wrapText="1"/>
    </xf>
    <xf numFmtId="0" fontId="0" fillId="0" borderId="0" xfId="0" applyAlignment="1">
      <alignment vertical="center"/>
    </xf>
    <xf numFmtId="0" fontId="0" fillId="0" borderId="0" xfId="0" applyAlignment="1">
      <alignment horizontal="center" vertical="center" wrapText="1"/>
    </xf>
    <xf numFmtId="0" fontId="0" fillId="0" borderId="0" xfId="0" applyFill="1" applyAlignment="1">
      <alignment horizontal="center" vertical="center"/>
    </xf>
    <xf numFmtId="0" fontId="0" fillId="0" borderId="0" xfId="0" applyAlignment="1">
      <alignment horizontal="center" vertical="center"/>
    </xf>
    <xf numFmtId="0" fontId="2" fillId="3" borderId="1" xfId="0" applyFont="1" applyFill="1" applyBorder="1" applyAlignment="1">
      <alignment horizontal="center" vertical="center" wrapText="1" readingOrder="2"/>
    </xf>
    <xf numFmtId="0" fontId="2" fillId="3" borderId="0" xfId="0" applyFont="1" applyFill="1" applyBorder="1" applyAlignment="1">
      <alignment horizontal="center" vertical="center" wrapText="1" readingOrder="2"/>
    </xf>
    <xf numFmtId="0" fontId="2" fillId="3" borderId="0" xfId="0" applyFont="1" applyFill="1" applyBorder="1" applyAlignment="1">
      <alignment horizontal="right" vertical="center" readingOrder="2"/>
    </xf>
    <xf numFmtId="0" fontId="2" fillId="3" borderId="0" xfId="0" applyFont="1" applyFill="1" applyBorder="1" applyAlignment="1">
      <alignment horizontal="right" vertical="center" readingOrder="2"/>
    </xf>
    <xf numFmtId="0" fontId="0" fillId="0" borderId="0" xfId="0" applyFill="1" applyAlignment="1">
      <alignment vertical="center"/>
    </xf>
    <xf numFmtId="0" fontId="3" fillId="2" borderId="0" xfId="20" applyAlignment="1">
      <alignment horizontal="center" vertical="center" wrapText="1"/>
    </xf>
    <xf numFmtId="0" fontId="0" fillId="0" borderId="0" xfId="0" applyAlignment="1">
      <alignment vertical="center" readingOrder="2"/>
    </xf>
    <xf numFmtId="0" fontId="0" fillId="0" borderId="0" xfId="0" applyAlignment="1">
      <alignment horizontal="right" vertical="center" readingOrder="2"/>
    </xf>
    <xf numFmtId="0" fontId="1" fillId="3" borderId="1" xfId="0" applyFont="1" applyFill="1" applyBorder="1" applyAlignment="1">
      <alignment horizontal="right" vertical="center" indent="1" readingOrder="2"/>
    </xf>
    <xf numFmtId="0" fontId="0" fillId="0" borderId="1" xfId="0" applyBorder="1" applyAlignment="1">
      <alignment horizontal="center" vertical="center" wrapText="1"/>
    </xf>
    <xf numFmtId="0" fontId="3" fillId="2" borderId="1" xfId="20" applyBorder="1" applyAlignment="1">
      <alignment horizontal="center" vertical="center" wrapText="1"/>
    </xf>
    <xf numFmtId="0" fontId="0" fillId="0" borderId="1" xfId="0" applyBorder="1" applyAlignment="1">
      <alignment vertical="center" wrapText="1"/>
    </xf>
    <xf numFmtId="0" fontId="3" fillId="2" borderId="1" xfId="20" applyBorder="1" applyAlignment="1">
      <alignment horizontal="center" vertical="center" wrapText="1" readingOrder="2"/>
    </xf>
    <xf numFmtId="0" fontId="0" fillId="4" borderId="1" xfId="0" applyFill="1" applyBorder="1" applyAlignment="1">
      <alignment vertical="center" wrapText="1" readingOrder="2"/>
    </xf>
    <xf numFmtId="0" fontId="0" fillId="4" borderId="1" xfId="0" applyFill="1" applyBorder="1" applyAlignment="1">
      <alignment horizontal="right" vertical="center" wrapText="1" readingOrder="2"/>
    </xf>
    <xf numFmtId="0" fontId="0" fillId="5" borderId="1" xfId="0" applyFill="1" applyBorder="1" applyAlignment="1">
      <alignment horizontal="center" vertical="center" wrapText="1"/>
    </xf>
    <xf numFmtId="2" fontId="0" fillId="6" borderId="1" xfId="0" applyNumberFormat="1" applyFill="1" applyBorder="1" applyAlignment="1">
      <alignment horizontal="center" vertical="center"/>
    </xf>
    <xf numFmtId="0" fontId="0" fillId="7" borderId="1" xfId="0" applyFill="1" applyBorder="1" applyAlignment="1">
      <alignment horizontal="center" vertical="center" wrapText="1"/>
    </xf>
    <xf numFmtId="0" fontId="0" fillId="8"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0" xfId="0" applyAlignment="1">
      <alignment horizontal="center" vertical="center" wrapText="1" readingOrder="2"/>
    </xf>
    <xf numFmtId="0" fontId="1" fillId="3" borderId="1" xfId="0" applyFont="1" applyFill="1" applyBorder="1" applyAlignment="1">
      <alignment horizontal="right" vertical="center" readingOrder="2"/>
    </xf>
  </cellXfs>
  <cellStyles count="7">
    <cellStyle name="Normal" xfId="0" builtinId="0"/>
    <cellStyle name="Percent" xfId="15"/>
    <cellStyle name="Currency" xfId="16"/>
    <cellStyle name="Currency [0]" xfId="17"/>
    <cellStyle name="Comma" xfId="18"/>
    <cellStyle name="Comma [0]" xfId="19"/>
    <cellStyle name="Good" xfId="2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5" Type="http://schemas.openxmlformats.org/officeDocument/2006/relationships/worksheet" Target="worksheets/sheet4.xml" /><Relationship Id="rId1" Type="http://schemas.openxmlformats.org/officeDocument/2006/relationships/theme" Target="theme/theme1.xml" /><Relationship Id="rId2" Type="http://schemas.openxmlformats.org/officeDocument/2006/relationships/worksheet" Target="worksheets/sheet1.xml" /><Relationship Id="rId8" Type="http://schemas.openxmlformats.org/officeDocument/2006/relationships/sharedStrings" Target="sharedStrings.xml" /><Relationship Id="rId4" Type="http://schemas.openxmlformats.org/officeDocument/2006/relationships/worksheet" Target="worksheets/sheet3.xml" /><Relationship Id="rId9" Type="http://schemas.openxmlformats.org/officeDocument/2006/relationships/externalLink" Target="externalLinks/externalLink1.xml" /><Relationship Id="rId6" Type="http://schemas.openxmlformats.org/officeDocument/2006/relationships/worksheet" Target="worksheets/sheet5.xml" /><Relationship Id="rId10" Type="http://schemas.openxmlformats.org/officeDocument/2006/relationships/calcChain" Target="calcChain.xml" /><Relationship Id="rId3" Type="http://schemas.openxmlformats.org/officeDocument/2006/relationships/worksheet" Target="worksheets/sheet2.xml" /><Relationship Id="rId7" Type="http://schemas.openxmlformats.org/officeDocument/2006/relationships/styles" Target="styles.xml" /></Relationships>
</file>

<file path=xl/externalLinks/_rels/externalLink1.xml.rels><?xml version="1.0" encoding="UTF-8" standalone="yes"?><Relationships xmlns="http://schemas.openxmlformats.org/package/2006/relationships"><Relationship Id="rId1" Type="http://schemas.openxmlformats.org/officeDocument/2006/relationships/externalLinkPath" Target="\Tikshuv\erp\All\&#1506;&#1504;&#1507;%20&#1502;&#1506;&#1512;&#1499;&#1493;&#1514;%20&#1502;&#1497;&#1491;&#1506;%20&#1500;&#1493;&#1490;&#1497;&#1505;&#1496;&#1497;&#1493;&#1514;\&#1508;&#1512;&#1493;&#1497;&#1497;&#1511;&#1496;&#1497;&#1501;\&#1502;&#1512;&#1492;''&#1505;%20&#1513;&#1500;&#1489;%20&#1490;\0%20&#1504;&#1497;&#1492;&#1493;&#1500;%20&#1492;&#1508;&#1512;&#1493;&#1497;&#1511;&#1496;\&#1502;&#1500;&#1488;&#1497;\&#8207;&#8207;&#1505;&#1489;&#1489;%20&#1495;&#1514;&#1497;&#1502;&#1493;&#1514;%207.10.20.xlsx"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סבב חתימות - מלאי"/>
      <sheetName val="סבב חתימות - שרשרת"/>
      <sheetName val="Sheet1"/>
      <sheetName val="גיליון1"/>
      <sheetName val="כללי"/>
      <sheetName val="תע"/>
      <sheetName val="גליון א"/>
    </sheetNames>
    <sheetDataSet>
      <sheetData sheetId="0">
        <row r="1">
          <cell r="B1" t="str">
            <v>תהליך</v>
          </cell>
        </row>
        <row r="2">
          <cell r="B2" t="str">
            <v>02.04: ויסות פנים ובין מרחבים</v>
          </cell>
          <cell r="H2" t="str">
            <v>22.9
הגיבה ב _31.10</v>
          </cell>
          <cell r="J2" t="str">
            <v>8.11_</v>
          </cell>
          <cell r="K2" t="str">
            <v>8.11_</v>
          </cell>
          <cell r="O2" t="str">
            <v>3.11 -חטלו"ג מול מפקדת מרה"ס</v>
          </cell>
          <cell r="Q2" t="str">
            <v>ממתינה לסיכום רשמי
תיקונים אצל יורם</v>
          </cell>
          <cell r="R2" t="str">
            <v>19.11
נשלחה התייחסות ב30.12</v>
          </cell>
        </row>
        <row r="3">
          <cell r="B3" t="str">
            <v>01.05: ויסותים פנימיים</v>
          </cell>
          <cell r="H3" t="str">
            <v>22.9
הגיבה ב _31.10</v>
          </cell>
          <cell r="J3" t="str">
            <v>8.11_</v>
          </cell>
          <cell r="K3" t="str">
            <v>BRF</v>
          </cell>
          <cell r="L3" t="str">
            <v>TMS
חצרים-TMS </v>
          </cell>
          <cell r="N3">
            <v>18.1</v>
          </cell>
          <cell r="O3" t="str">
            <v>3.11 -חטלו"ג מול מפקדת מרה"ס</v>
          </cell>
          <cell r="Q3" t="str">
            <v>ממתינה לסיכום רשמי
תיקונים אצל יורם</v>
          </cell>
          <cell r="R3" t="str">
            <v>19.11
נשלחה התייחסות ב30.13</v>
          </cell>
        </row>
        <row r="4">
          <cell r="B4" t="str">
            <v>01.02: ערכות</v>
          </cell>
          <cell r="Q4">
            <v>26.1</v>
          </cell>
          <cell r="R4" t="str">
            <v>26.1
מאושר</v>
          </cell>
        </row>
        <row r="5">
          <cell r="B5" t="str">
            <v>01.03: חיובים וזיכויים</v>
          </cell>
          <cell r="H5" t="str">
            <v>נשלח ב1.9
מאור מעדכן יום ראשון _25.10
ההערות תוקנו בקובץ, גלית לא עונה כדי לאשר - תנועה שמנים 672 , ניפוק שמנים למעבדה (לא אישרה), בחינות מטמון</v>
          </cell>
          <cell r="J5" t="str">
            <v>ממתין לדוח   _5.11</v>
          </cell>
          <cell r="L5" t="str">
            <v>יש הרבה משימות פתוחות</v>
          </cell>
          <cell r="N5" t="str">
            <v>הועבר אליהם ב 15.10
העבירו התייחסות ב22.10
הערות תוקנו בקובץ, ממתין לאישור
אושר ב29.10</v>
          </cell>
          <cell r="O5" t="str">
            <v>נשלח ב22.9
הגיבו בתאריך 22.10
ההערות תוקנו בקובץ, ממתין לאישור של נדין
לא מאשרים בגלל מצב קיים, קבעו דיון ל3.11
3.11 - חטלוג מול מפקדת יבחנו אם יש פערים שלא מקבלים מענה במצב קיים ויעבירו אלינו. על אז אין לנו איך להתקדם
ישבנו איתם שוב, טרם עברו על פירוט סוגי וסיבות התנועה. הוחלט להפיץ כאשר הם לא מאשרים עד לתיקוף שלהם.</v>
          </cell>
          <cell r="Q5" t="str">
            <v>22.11
התקיים דיון ב28.12 - אושר עקרונית</v>
          </cell>
          <cell r="R5" t="str">
            <v>22.11
נותרו בע"ת שטרם אישרו 
אם ההסתייגות מול חטלו"ג היא הרשאות בלבד - אזי מאושר
אם ההסתייגות היא פער בתהליך - לעלות לרמ"ח בחזרה</v>
          </cell>
        </row>
        <row r="6">
          <cell r="B6" t="str">
            <v>01.04: השקעות ופירוקים</v>
          </cell>
          <cell r="K6" t="str">
            <v>22.9 הופץ
גלית התייחסה לתקוה וחטלו"ג
נשלח _19.11</v>
          </cell>
          <cell r="L6" t="str">
            <v>22.9 הופץ
האם סופי ב0010
וא"א חדש רישומי?
נשלח _19.11</v>
          </cell>
          <cell r="N6" t="str">
            <v>הופץ ב22.9
פ"ע מול איהאב 25.10
נשלח _19.11</v>
          </cell>
          <cell r="O6" t="str">
            <v>הופץ ב22.9
הגיבו בתאריך 22.10
נשלח _19.11</v>
          </cell>
          <cell r="Q6" t="str">
            <v>3.12
ניר ביקש העמקה על זה ועל קבלה מרכש אמרלים</v>
          </cell>
          <cell r="R6" t="str">
            <v>3.12_
מאושר בכפוף לאישורים נוספים ***
הועבר לשגיב כולל כלל האישורים 22.12
מאושר סופית</v>
          </cell>
        </row>
        <row r="7">
          <cell r="B7" t="str">
            <v>01.06: אחסנה</v>
          </cell>
          <cell r="E7" t="str">
            <v>רשום בקבוצה עם המנהלת </v>
          </cell>
          <cell r="H7" t="str">
            <v>העבירה התייחסות ב17.10</v>
          </cell>
          <cell r="J7" t="str">
            <v>תיקון חסימות</v>
          </cell>
          <cell r="K7" t="str">
            <v>תיקון חסימות</v>
          </cell>
          <cell r="L7" t="str">
            <v>רמות מלאי חירום וקו אדום
מצ"מ - 306 א
נושא פתוח</v>
          </cell>
          <cell r="N7" t="str">
            <v>רשימת מחסנים מיוחדים</v>
          </cell>
          <cell r="O7" t="str">
            <v>הגיבו בתאריך 22.10
ממתין לאישור של נדין</v>
          </cell>
          <cell r="P7" t="str">
            <v>מבקש לראות מעודכן אחרי עדכון תרשים</v>
          </cell>
          <cell r="Q7" t="str">
            <v>אושר עקרונית ממתינה לסיכום רשמי</v>
          </cell>
          <cell r="R7" t="str">
            <v>8.11
נשלחה התייחסות נוספת _23.12
מאושר סופית</v>
          </cell>
        </row>
        <row r="8">
          <cell r="B8" t="str">
            <v>01.07: חוקת המלאי</v>
          </cell>
          <cell r="F8">
            <v>27.12</v>
          </cell>
          <cell r="G8">
            <v>27.12</v>
          </cell>
          <cell r="H8">
            <v>27.12</v>
          </cell>
          <cell r="I8">
            <v>27.12</v>
          </cell>
          <cell r="J8">
            <v>27.12</v>
          </cell>
          <cell r="K8">
            <v>27.12</v>
          </cell>
          <cell r="L8">
            <v>27.12</v>
          </cell>
          <cell r="M8">
            <v>27.12</v>
          </cell>
          <cell r="N8">
            <v>27.12</v>
          </cell>
          <cell r="O8">
            <v>27.12</v>
          </cell>
          <cell r="P8">
            <v>27.12</v>
          </cell>
          <cell r="R8" t="str">
            <v>נדרש להעביר לאישור לכלל בע"ת בדגש על דודי רם
נדרש לבחון פתרון חכם לחוקה שאינו "קוד"
דיון ייעודי בראשות הרמ"ח
</v>
          </cell>
        </row>
        <row r="9">
          <cell r="B9" t="str">
            <v>02.21: רענון ערכות של יחידות</v>
          </cell>
          <cell r="F9">
            <v>25.11</v>
          </cell>
          <cell r="G9">
            <v>25.11</v>
          </cell>
          <cell r="H9" t="str">
            <v>25.11
לוגיקות מימוש</v>
          </cell>
          <cell r="I9">
            <v>25.11</v>
          </cell>
          <cell r="J9">
            <v>25.11</v>
          </cell>
          <cell r="K9">
            <v>25.11</v>
          </cell>
          <cell r="L9" t="str">
            <v>25.11
הזמנות דלק</v>
          </cell>
          <cell r="M9">
            <v>25.11</v>
          </cell>
          <cell r="N9">
            <v>25.11</v>
          </cell>
          <cell r="O9">
            <v>25.11</v>
          </cell>
          <cell r="P9" t="str">
            <v>25.11
אישר עקרונית</v>
          </cell>
          <cell r="Q9" t="str">
            <v>אושר עקרונית ממתינה לסיכום רשמי</v>
          </cell>
          <cell r="R9" t="str">
            <v>24.12
חזר עם הערות 29.12
תכנון - נדרש לפתח תכנון שיאפשר תכנון לפי מק"ט או יחידה וכמה זמן מראש, בשלב מתקדם יותר סרגל החלטה לתכנון הנע בין כמות הגעה ליחידה לכמות בזבוז מלאים</v>
          </cell>
        </row>
        <row r="10">
          <cell r="B10" t="str">
            <v>01.09: 1003</v>
          </cell>
          <cell r="F10" t="str">
            <v>המייל האזרחי</v>
          </cell>
          <cell r="L10" t="str">
            <v>פעולות מול יחידות 1003
טופס אחר מול מרה"ס-פורמטים שונים</v>
          </cell>
          <cell r="N10" t="str">
            <v>חזר אליהם לחתימה ב 30.9</v>
          </cell>
          <cell r="O10" t="str">
            <v>הגיבו בתאריך 22.10</v>
          </cell>
          <cell r="Q10" t="str">
            <v>8.11
ניר קורא עצמאית</v>
          </cell>
          <cell r="R10" t="str">
            <v>8.11
מאושר בכפוף להערות העברנו התייחסות נוספת לשגיב ב28.12
מאושר סופית</v>
          </cell>
        </row>
        <row r="11">
          <cell r="B11" t="str">
            <v>01.01: קבלה מרכש</v>
          </cell>
          <cell r="F11" t="str">
            <v>תיקונים בתרשימים
הועבר 15.10</v>
          </cell>
          <cell r="G11" t="str">
            <v>הסתייגות - מרקט</v>
          </cell>
          <cell r="H11" t="str">
            <v>רכש חו"ל המרות</v>
          </cell>
          <cell r="N11" t="str">
            <v>תיקונים בתרשימים
הועבר 15.10</v>
          </cell>
          <cell r="O11" t="str">
            <v>הופץ 13.9
הועברה התייחסות ב27.10
3.11 - חטלו"ג מול מפקדת מרה"ס
25.11 אושר
נדרש להעמיק ברכש בהטסה</v>
          </cell>
          <cell r="Q11" t="str">
            <v>25.11
ניר מבקש העמק על אמרלים</v>
          </cell>
          <cell r="R11" t="str">
            <v>25.11
חזר עם הערות 1.12 - קבלה ממרק"ט***</v>
          </cell>
        </row>
        <row r="12">
          <cell r="B12" t="str">
            <v>01.11: ספירות מלאי, טיפול בהפרשים ואובדנים</v>
          </cell>
          <cell r="N12" t="str">
            <v>תדירות ספריה לא תהיה בSAP שונה ממרכז</v>
          </cell>
          <cell r="O12" t="str">
            <v>אושר ע"י אלכס וניסים בתאריך 
נפתח לאחר אישור ב22.10
ממתין לאישור של נדין ב25.10
גלית משרקי אשרה 2.11</v>
          </cell>
          <cell r="Q12" t="str">
            <v>אושר עקרונית ממתינה לסיכום רשמי</v>
          </cell>
          <cell r="R12" t="str">
            <v>8.11
הועבר לשגיב להתייחסות נוספת 28.12</v>
          </cell>
        </row>
        <row r="13">
          <cell r="B13" t="str">
            <v>01.12: מכירה וגריטה</v>
          </cell>
          <cell r="F13" t="str">
            <v>ביקשתי שיעבור שוב</v>
          </cell>
          <cell r="J13" t="str">
            <v>מצ"מ-מתחם גריטות
נשלח ב19.10</v>
          </cell>
          <cell r="K13" t="str">
            <v>מצ"מ-מתחם גריטות
נשלח ב19.10</v>
          </cell>
          <cell r="L13" t="str">
            <v>מצ"מ-מתחם גריטות
נשלח ב19.10
לפי רחט"ל ביקש שמכירה יבוצע בכושר 8 בלבד </v>
          </cell>
          <cell r="N13" t="str">
            <v>סוגיית ייחוד גריטה תהליך מזון - לאשר מול מפקדת מרה"ס</v>
          </cell>
          <cell r="O13" t="str">
            <v>הגיבו בתאריך 22.10
ממתין לאישור של נדין
סטאטוס נוסף של אישור חוזר
</v>
          </cell>
          <cell r="Q13">
            <v>8.11</v>
          </cell>
          <cell r="R13" t="str">
            <v>8.11
מאושר סופית</v>
          </cell>
        </row>
        <row r="14">
          <cell r="B14" t="str">
            <v>01.14: מבנה ארגוני</v>
          </cell>
          <cell r="F14" t="str">
            <v>הופץ 14.10</v>
          </cell>
          <cell r="G14" t="str">
            <v>הופץ 14.10
הופץ שוב ב24.12</v>
          </cell>
          <cell r="H14" t="str">
            <v>הופץ 14.10
הגיבה ב _31.10
הגיבה ב1.12
הופץ שוב ב24.12</v>
          </cell>
          <cell r="I14" t="str">
            <v>הופץ 14.10</v>
          </cell>
          <cell r="J14" t="str">
            <v>הופץ 14.10
הופץ שוב ב24.12</v>
          </cell>
          <cell r="K14" t="str">
            <v>הופץ 14.10</v>
          </cell>
          <cell r="L14" t="str">
            <v>הופץ 14.10</v>
          </cell>
          <cell r="M14" t="str">
            <v>הופץ 14.10</v>
          </cell>
          <cell r="N14" t="str">
            <v>הופץ 14.10
אישור עקרוני - פער מול יכולת דחיפת מלאי לא"א צבאי בלבד</v>
          </cell>
          <cell r="O14" t="str">
            <v>הופץ 14.10</v>
          </cell>
          <cell r="P14" t="str">
            <v>הופץ 14.10</v>
          </cell>
          <cell r="Q14">
            <v>31.12</v>
          </cell>
          <cell r="R14">
            <v>31.12</v>
          </cell>
        </row>
        <row r="15">
          <cell r="B15" t="str">
            <v>01.15: כושרים</v>
          </cell>
          <cell r="O15" t="str">
            <v>נדין ומורן אישרו ב22.10
ניסים?</v>
          </cell>
          <cell r="Q15" t="str">
            <v>אושר עקרונית ממתינה לסיכום רשמי</v>
          </cell>
          <cell r="R15" t="str">
            <v>8.11
***מאושר בכפוף לקבלת אישורים של יתר בע"ת _12.11
עמ"ט הכושרים מזון
</v>
          </cell>
        </row>
        <row r="16">
          <cell r="B16" t="str">
            <v>01.16: המרות טכניות</v>
          </cell>
          <cell r="F16" t="str">
            <v>אישר ב25.10</v>
          </cell>
          <cell r="G16" t="str">
            <v>התהליך החדש שמפתחים להם
אושר ב26.10</v>
          </cell>
          <cell r="H16" t="str">
            <v>הקובץ הועבר 22.9
מאור מעדכן יום ראשון 25.10
ההערות תוקנו בקובץ, גלית לא עונה כדי לאשר
3.11 קצין נמלים</v>
          </cell>
          <cell r="I16" t="str">
            <v>עדכון מצב קיים נשלח ב14.10
פ"ע מאור שרון ואלכס
נכנסו 2 משימות חדשות משרון סבב אישורים (גלית משרקי), קבלה לאחר הסבה בחברות חיצוניות 21.10
הערות תוקנו בקובץ ונשלחו למשתמשים לאישור 26.10
אושר ב28.10</v>
          </cell>
          <cell r="J16" t="str">
            <v>עדכון מצב קיים נשלח ב14.10
פ"ע מאור שרון ואלכס
נכנסו 2 משימות חדשות משרון סבב אישורים (גלית משרקי), קבלה לאחר הסבה בחברות חיצוניות 21.10
הערות תוקנו בקובץ ונשלחו למשתמשים לאישור 26.10</v>
          </cell>
          <cell r="K16" t="str">
            <v>עדכון מצב קיים נשלח ב14.10
פ"ע מאור שרון ואלכס
נכנסו 2 משימות חדשות משרון סבב אישורים (גלית משרקי), קבלה לאחר הסבה בחברות חיצוניות 21.10
הערות תוקנו בקובץ ונשלחו למשתמשים לאישור 26.10</v>
          </cell>
          <cell r="L16" t="str">
            <v>אושר ע"י גדי מליחי ב28.10</v>
          </cell>
          <cell r="M16" t="str">
            <v>ממתין להתייחסות </v>
          </cell>
          <cell r="N16" t="str">
            <v>ממתין מה15.10
התייחסו ב22.10
ממתינים להם שוב מה22.10
אושר ב29.10</v>
          </cell>
          <cell r="O16" t="str">
            <v>קובץ הועבר ב22.9
לא הועברה התייחסות עד
תוקנו הערות ונשלח קובץ עדכני ב28.10
אושר עקרונית 5.11 - אישור אחרון עד 8.11
להוסיף את מכירה</v>
          </cell>
          <cell r="Q16" t="str">
            <v>אושר עקרונית ממתינה לסיכום רשמי</v>
          </cell>
          <cell r="R16" t="str">
            <v>8.11
אישור עקרוני בכפוף לשאלות + בוצעה חתימה רע"ן הפעלה
מאושר סופית</v>
          </cell>
        </row>
        <row r="17">
          <cell r="B17" t="str">
            <v>01.17: סדרות</v>
          </cell>
          <cell r="F17" t="str">
            <v>שינוי סדרה-  המלאי לא יהיה חסום בהחלטת אבי</v>
          </cell>
          <cell r="H17" t="str">
            <v>שינוי סדרה-  המלאי לא יהיה חסום בהחלטת אבי
מבקשת העמקה בכל נושא הבחינות</v>
          </cell>
          <cell r="J17" t="str">
            <v>פער מול צרפ</v>
          </cell>
          <cell r="N17" t="str">
            <v>שלחו התייחסות ב22.10</v>
          </cell>
          <cell r="O17" t="str">
            <v>נדין ומורן אישרו ב22.10
ניסים?</v>
          </cell>
          <cell r="P17" t="str">
            <v>מהם ההשפעות סדרת יצרן </v>
          </cell>
          <cell r="Q17" t="str">
            <v>8.11
מאושר יש להוסיף מענה לתחום הצר"פ</v>
          </cell>
          <cell r="R17" t="str">
            <v>8.11
מאושר עקרונית בכפוף לאישור מפקד המטלו"ג - אושר***
לא נדרש לשלוח התייחסות</v>
          </cell>
        </row>
        <row r="18">
          <cell r="B18" t="str">
            <v>01.18: בימ"לים</v>
          </cell>
          <cell r="F18">
            <v>1.12</v>
          </cell>
          <cell r="G18">
            <v>1.12</v>
          </cell>
          <cell r="H18" t="str">
            <v>1.12
הוחזרה התייחסות ב5.12</v>
          </cell>
          <cell r="I18">
            <v>1.12</v>
          </cell>
          <cell r="J18">
            <v>1.12</v>
          </cell>
          <cell r="K18">
            <v>1.12</v>
          </cell>
          <cell r="L18">
            <v>1.12</v>
          </cell>
          <cell r="M18">
            <v>1.12</v>
          </cell>
          <cell r="N18">
            <v>1.12</v>
          </cell>
          <cell r="O18">
            <v>1.12</v>
          </cell>
          <cell r="P18">
            <v>1.12</v>
          </cell>
          <cell r="Q18" t="str">
            <v>אושר עקרונית ממתינה לסיכום רשמי</v>
          </cell>
          <cell r="R18" t="str">
            <v>10.12
התייחס בתאריך 21.12
ממתין רק להתייחסות של בע"ת פנימיים במרה"ס</v>
          </cell>
        </row>
      </sheetData>
      <sheetData sheetId="1">
        <row r="1">
          <cell r="B1" t="str">
            <v>תהליך</v>
          </cell>
        </row>
        <row r="2">
          <cell r="B2" t="str">
            <v>02.01: מבנה ארגוני -  שרשרת</v>
          </cell>
          <cell r="F2" t="str">
            <v>הופץ ב  3.11
החזיר התייחסות ב6.12 
הופץ שוב ב24.12</v>
          </cell>
          <cell r="G2" t="str">
            <v>הופץ ב 3.11
החזיר התייחסות ב8.11
אושר ב9.11</v>
          </cell>
          <cell r="H2" t="str">
            <v>הופץ ב 3.11
אישר ב13.12</v>
          </cell>
          <cell r="I2" t="str">
            <v>הופץ ב 3.11
החזירה התייחסות ב30.11
הופץ שוב ב24.12</v>
          </cell>
          <cell r="J2" t="str">
            <v>הופץ ב 3.11
אושר ב12.11</v>
          </cell>
          <cell r="K2" t="str">
            <v>הופץ ב 3.11
החזירה התייחסות ב8.11
נשלחה אליה התייחסות נוספת ב22.11
החזירה התייחסות ב29.11
הופץ שוב ב24.12
מאושר 31.12.</v>
          </cell>
          <cell r="L2" t="str">
            <v>הופץ ב 3.11
החזירה התייחסות ב8.11
נשלחה אליה התייחסות נוספת ב22.11
החזירה התייחסות ב29.11
הופץ שוב ב24.12
מאושר 31.12.</v>
          </cell>
          <cell r="M2" t="str">
            <v>הופץ ב 3.11
החזירה התייחסות ב15.11
נשלחה אליה התייחסות נוספת  ב22.11
הופץ שוב ב24.12
אישרה ב5.1</v>
          </cell>
          <cell r="O2" t="str">
            <v>הופץ ב 3.11
החזיר התייחסות ב15.11
נשלחה לדניאל התייחסות ב23.11
החזיר התייחסות ב24.11
הופץ שוב ב24.12
אישר ב3.1</v>
          </cell>
          <cell r="P2" t="str">
            <v>הופץ ב 3.11
החזיר התייחסות ב23.12
הופץ שוב ב24.12
אושר ב27.1</v>
          </cell>
          <cell r="Q2" t="str">
            <v>הופץ ב 3.11
החזיר התייחסות ב12.11
אישר</v>
          </cell>
          <cell r="R2" t="str">
            <v>הופץ ב3.1
הוצג ב24.1</v>
          </cell>
          <cell r="S2" t="str">
            <v>הופץ ב3.1
החזיר התייחסות ב10.1
החזרנו התייחסות ב11.1</v>
          </cell>
        </row>
        <row r="3">
          <cell r="B3" t="str">
            <v>02.02: אספקה ליחידות</v>
          </cell>
          <cell r="F3" t="str">
            <v>הופץ ב 28.10
החזיר התייחסות ב6.12
נשלח מסמך נוסף לאישור מול דודי 9.12
הופץ שוב ב24.12</v>
          </cell>
          <cell r="G3" t="str">
            <v>הופץ ב 28.10
החזיר התייחסות ב29.10
אישר ב5.11</v>
          </cell>
          <cell r="H3" t="str">
            <v>הופץ ב 28.10
החזיר התייחסות ב4.11
אישר ב25.11</v>
          </cell>
          <cell r="I3" t="str">
            <v>הופץ ב 28.10
החזירה התייחסות ב25.11
הופץ שוב ב24.12</v>
          </cell>
          <cell r="J3" t="str">
            <v>הופץ ב 28.10
אישר(חלופה 1 העברת אספקה) 26.11</v>
          </cell>
          <cell r="K3" t="str">
            <v>הופץ ב 28.10
החזירה התייחסות ב29.10
הופץ שוב ב24.12
מאושר 31.12.</v>
          </cell>
          <cell r="L3" t="str">
            <v>הופץ ב 28.10
החזירה התייחסות ב29.10
הופץ שוב ב24.12
מאושר 31.12.</v>
          </cell>
          <cell r="M3" t="str">
            <v>הופץ ב 28.10
החזירה התייחסות ב1.11
הופץ שוב ב24.12
אישרה ב3.2</v>
          </cell>
          <cell r="O3" t="str">
            <v>הופץ ב 28.10
החזיר התייחסות ב22.12
הופץ שוב ב24.12
החזירה התייחסות ב24.12</v>
          </cell>
          <cell r="P3" t="str">
            <v>הופץ ב 28.10
החזיר התייחסות ב10.11
נשלחה לדניאל  התייחסות נוספת ב22.11
החזיר התייחסות ב22.11
הופץ שוב ב24.12
החזרתי התייחסות ב27.12
אושר 27.1</v>
          </cell>
          <cell r="Q3" t="str">
            <v>הופץ ב 28.10
אושר ב12.11</v>
          </cell>
          <cell r="R3" t="str">
            <v>הופץ ב3.1
הוצג ב24.1</v>
          </cell>
          <cell r="S3" t="str">
            <v>הופץ ב4.1
החזיר התייחסות ב13.1</v>
          </cell>
        </row>
        <row r="4">
          <cell r="B4" t="str">
            <v>02.18: טיפול בהפרשים</v>
          </cell>
          <cell r="F4" t="str">
            <v>הופץ ב 28.10
החזיר התייחסות ב6.12
הופץ שוב ב24.12</v>
          </cell>
          <cell r="G4" t="str">
            <v>הופץ ב 28.10
החזיר התייחסות ב29.10
אישר ב5.11</v>
          </cell>
          <cell r="H4" t="str">
            <v>הופץ ב 28.10
החזיר תשובה ב9.11
אישר ב23.11</v>
          </cell>
          <cell r="I4" t="str">
            <v>הופץ ב28.10
הופץ שוב ב24.12</v>
          </cell>
          <cell r="J4" t="str">
            <v>הופץ ב 28.10
אישר ב9.11</v>
          </cell>
          <cell r="K4" t="str">
            <v>הופץ ב 28.10
החזירה התייחסות ב29.10
הופץ שוב ב24.12
מאושר 31.12.</v>
          </cell>
          <cell r="L4" t="str">
            <v>הופץ ב 28.10
החזירה התייחסות ב29.10
הופץ שוב ב24.12
מאושר 31.12.</v>
          </cell>
          <cell r="M4" t="str">
            <v>הופץ ב 28.10
החזירה התייחסות ב15.11
נשלחה אליה התייחסות נוספת ב22.11
הופץ שוב ב24.12
אישרה ב3.2</v>
          </cell>
          <cell r="O4" t="str">
            <v>הופץ ב 28.10
החזיר התייחסות ב22.12
הופץ שוב ב24.12
החזירה התייחסות ב24.12</v>
          </cell>
          <cell r="P4" t="str">
            <v>הופץ ב 28.10
החזיר התייחסות ב10.11
נשלחה לדניאל  התייחסות נוספת ב22.11
החזיר התייחסות ב22.11
הופץ שוב ב24.12
החזרתי התייחסות ב27.12</v>
          </cell>
          <cell r="Q4" t="str">
            <v>הופץ ב 28.10
החזיר התייחסות ב12.11
נשלחה לאריאל  התייחסות נוספת ב22.11
אישר ב23.12 (עם הסתייגות על סטטוס מלאי בדרך ותהליך בירור הפרשים)</v>
          </cell>
          <cell r="R4" t="str">
            <v>הופץ ב3.1
הוצג ב24.1</v>
          </cell>
          <cell r="S4" t="str">
            <v>הופץ ב4.1
החזיר התייחסות ב13.1</v>
          </cell>
        </row>
        <row r="5">
          <cell r="B5" t="str">
            <v>02.06: החזרות מיחידות</v>
          </cell>
          <cell r="F5" t="str">
            <v>נחתם 8/12</v>
          </cell>
          <cell r="H5" t="str">
            <v>נחתם 24/11</v>
          </cell>
          <cell r="I5" t="str">
            <v>נחתם 23/12</v>
          </cell>
          <cell r="J5" t="str">
            <v>נחתם 12/11</v>
          </cell>
          <cell r="L5" t="str">
            <v>נחתם 15/11</v>
          </cell>
          <cell r="M5" t="str">
            <v>נחתם 30/11</v>
          </cell>
          <cell r="N5" t="str">
            <v>נחתם 30/11</v>
          </cell>
          <cell r="O5" t="str">
            <v>נחתם 24/11 </v>
          </cell>
          <cell r="P5" t="str">
            <v>נחתם 29/12</v>
          </cell>
          <cell r="Q5" t="str">
            <v>נחתם עקרונית 8/12</v>
          </cell>
          <cell r="R5" t="str">
            <v>הופץ 29/12</v>
          </cell>
          <cell r="S5" t="str">
            <v>מאושר 31/12</v>
          </cell>
        </row>
        <row r="6">
          <cell r="B6" t="str">
            <v>02.08: מכירות</v>
          </cell>
          <cell r="F6" t="str">
            <v>נחתם 24/12</v>
          </cell>
          <cell r="H6" t="str">
            <v>נחתם 3/12</v>
          </cell>
          <cell r="I6" t="str">
            <v>הופץ 4 24/12</v>
          </cell>
          <cell r="K6" t="str">
            <v>נחתם 10/12</v>
          </cell>
          <cell r="L6" t="str">
            <v>נחתם 10/12</v>
          </cell>
          <cell r="M6" t="str">
            <v>נחתם 20/12</v>
          </cell>
          <cell r="N6" t="str">
            <v>נחתם 20/12</v>
          </cell>
          <cell r="O6" t="str">
            <v>נחתם 30/11</v>
          </cell>
          <cell r="P6" t="str">
            <v>נחתם 29/12</v>
          </cell>
          <cell r="Q6" t="str">
            <v>נחתם עקרונית 8/12</v>
          </cell>
          <cell r="R6" t="str">
            <v>הופץ 29/12</v>
          </cell>
          <cell r="S6" t="str">
            <v>מאושר 31/12</v>
          </cell>
        </row>
        <row r="7">
          <cell r="B7" t="str">
            <v>02.11: החלפות</v>
          </cell>
          <cell r="F7" t="str">
            <v>נחתם 8/12</v>
          </cell>
          <cell r="H7" t="str">
            <v>נחתם 24/11</v>
          </cell>
          <cell r="J7" t="str">
            <v>נחתם 24/11</v>
          </cell>
          <cell r="K7" t="str">
            <v>נחתם 18/11</v>
          </cell>
          <cell r="L7" t="str">
            <v>נחתם 18/11</v>
          </cell>
          <cell r="M7" t="str">
            <v>נחתם 22/11</v>
          </cell>
          <cell r="N7" t="str">
            <v>נחתם 22/11</v>
          </cell>
          <cell r="O7" t="str">
            <v>נחתם 25/11</v>
          </cell>
          <cell r="P7" t="str">
            <v>נחתם 29/12</v>
          </cell>
          <cell r="Q7" t="str">
            <v>נחתם עקרונית 8/12</v>
          </cell>
          <cell r="R7" t="str">
            <v>הופץ 29/12</v>
          </cell>
          <cell r="S7" t="str">
            <v>מאושר 31/12</v>
          </cell>
        </row>
        <row r="8">
          <cell r="B8" t="str">
            <v>02.12: תיקונים</v>
          </cell>
          <cell r="F8" t="str">
            <v>הופץ ב9.12
הופץ שוב ב24.12</v>
          </cell>
          <cell r="H8" t="str">
            <v>הופץ ב9.12
אישר ב10.12</v>
          </cell>
          <cell r="J8" t="str">
            <v>הופץ ב9.12
הופץ שוב ב24.12
אישר ב27.1</v>
          </cell>
          <cell r="K8" t="str">
            <v>הופץ ב9.12
אישר ב10.12</v>
          </cell>
          <cell r="L8" t="str">
            <v>הופץ ב9.12
אישר ב10.12</v>
          </cell>
          <cell r="M8" t="str">
            <v>הופץ ב9.12
הופץ שוב ב24.12
אישרה ב5.1</v>
          </cell>
          <cell r="O8" t="str">
            <v>הופץ ב9.12
הופץ שוב ב24.12</v>
          </cell>
          <cell r="P8" t="str">
            <v>הופץ ב9.12
החזיר התייחסות ב23.12
הופץ שוב ב24.12
אושר 27.1</v>
          </cell>
          <cell r="Q8" t="str">
            <v>הופץ ב9.12
אישר ב24.12</v>
          </cell>
          <cell r="R8" t="str">
            <v>הופץ ב3.1</v>
          </cell>
          <cell r="S8" t="str">
            <v>הופץ ב3.1
החזיר התייחסות ב10.1
החזרנו התייחסות ב11.1</v>
          </cell>
        </row>
        <row r="9">
          <cell r="B9" t="str">
            <v>02.13: השאלות</v>
          </cell>
          <cell r="F9" t="str">
            <v>נחתם 8/12</v>
          </cell>
          <cell r="H9" t="str">
            <v>נחתם 12/11</v>
          </cell>
          <cell r="I9" t="str">
            <v>הופץ 5 24/12</v>
          </cell>
          <cell r="J9" t="str">
            <v>נחתם 7/12</v>
          </cell>
          <cell r="K9" t="str">
            <v>נחתם 8/11</v>
          </cell>
          <cell r="L9" t="str">
            <v>נחתם 8/11</v>
          </cell>
          <cell r="M9" t="str">
            <v>נחתם 25/11</v>
          </cell>
          <cell r="N9" t="str">
            <v>נחתם 25/11</v>
          </cell>
          <cell r="O9" t="str">
            <v>נחתם 11/11</v>
          </cell>
          <cell r="P9" t="str">
            <v>נחתם 29/12 פרט להסתייגות בנושא רוורס להחזרה, ההסתייגות מפורטת בטבלת נושאים פתוחים</v>
          </cell>
          <cell r="Q9" t="str">
            <v>נחתם 2/11</v>
          </cell>
          <cell r="R9" t="str">
            <v>הופץ 29/12</v>
          </cell>
          <cell r="S9" t="str">
            <v>מאושר 31/12</v>
          </cell>
        </row>
        <row r="10">
          <cell r="B10" t="str">
            <v>02.23: MRP</v>
          </cell>
          <cell r="F10" t="str">
            <v>הופץ ב24.12</v>
          </cell>
          <cell r="G10" t="str">
            <v>הופץ ב24.12
החזיר התייחסות ב27.12
נשלחה התייחסות לישראל ב3.1
החיר התייחסות ב4.1
אישר ב5.1</v>
          </cell>
          <cell r="H10" t="str">
            <v>הופץ ב24.12
אישר ב27.12</v>
          </cell>
          <cell r="I10" t="str">
            <v>הופץ ב24.12</v>
          </cell>
          <cell r="J10" t="str">
            <v>הופץ ב24.12
אישר ב27.1</v>
          </cell>
          <cell r="K10" t="str">
            <v>הופץ ב24.12</v>
          </cell>
          <cell r="L10" t="str">
            <v>הופץ ב24.12</v>
          </cell>
          <cell r="M10" t="str">
            <v>הופץ ב24.12
אישרה ב27.12</v>
          </cell>
          <cell r="O10" t="str">
            <v>הופץ ב24.12</v>
          </cell>
          <cell r="P10" t="str">
            <v>הופץ ב23.12
החזיר התייחסות ב23.12
הופץ שוב ב24.12
אושר יל ידי מורן 27.1.21</v>
          </cell>
          <cell r="Q10" t="str">
            <v>הופץ ב24.12
אישר ב27.1</v>
          </cell>
          <cell r="R10" t="str">
            <v>הופץ ב3.1</v>
          </cell>
          <cell r="S10" t="str">
            <v>הופץ ב3.1
החזיר התייחסות ב10.1
החזרנו התייחסות ב11.1</v>
          </cell>
        </row>
        <row r="11">
          <cell r="B11" t="str">
            <v>02.24: אספקה ללא סימוכין</v>
          </cell>
          <cell r="F11" t="str">
            <v>הופץ ב1.12
החזיר התייחסות ב6.12
הופץ שוב ב24.12</v>
          </cell>
          <cell r="H11" t="str">
            <v>הופץ ב1.12
אישר ב1.12</v>
          </cell>
          <cell r="I11" t="str">
            <v>הופץ ב1.12
החזירה תהייחסות ב3.12
הופץ שוב ב24.12
החזירה התייחסות ב27.12
הוחזרה אליה התייחסות ב27.12</v>
          </cell>
          <cell r="J11" t="str">
            <v>הופץ ב1.12
הופץ שוב ב24.12
אישר ב24.12</v>
          </cell>
          <cell r="K11" t="str">
            <v>הופץ ב1.12
החזירה התייחסות ב9.12
נשלחה התייחסות נוספת לגלית ב9.12
אישרה</v>
          </cell>
          <cell r="L11" t="str">
            <v>הופץ ב1.12
החזירה התייחסות ב9.12
נשלחה התייחסות נוספת לגלית ב9.12
אישרה</v>
          </cell>
          <cell r="M11" t="str">
            <v>הופץ ב1.12
החזירה התייחסות ב1.12
נשלחה התייחסות נוספת ב6.12
אישרה ב24.12</v>
          </cell>
          <cell r="O11" t="str">
            <v>הופץ ב 1.12
החזיר התייחסות ב1.12
נשלחה לדניאל  התייחסות נוספת ב1.12
אישר ב2.12</v>
          </cell>
          <cell r="P11" t="str">
            <v>הופץ ב1.12
הופץ שוב ב24.12</v>
          </cell>
          <cell r="Q11" t="str">
            <v>הופץ ב1.12
אישר ב23.12</v>
          </cell>
          <cell r="R11" t="str">
            <v>הופץ ב3.1</v>
          </cell>
          <cell r="S11" t="str">
            <v>הופץ ב3.1
החזיר התייחסות ב10.1
החזרנו התייחסות ב11.1</v>
          </cell>
        </row>
        <row r="13">
          <cell r="D13">
            <v>1</v>
          </cell>
          <cell r="E13">
            <v>0.9</v>
          </cell>
          <cell r="F13">
            <v>0.3</v>
          </cell>
          <cell r="G13">
            <v>0.6</v>
          </cell>
          <cell r="H13">
            <v>0.8</v>
          </cell>
          <cell r="I13">
            <v>0</v>
          </cell>
          <cell r="J13">
            <v>0.6</v>
          </cell>
          <cell r="K13">
            <v>0.444444444444444</v>
          </cell>
          <cell r="L13">
            <v>0.5</v>
          </cell>
          <cell r="M13">
            <v>0.3</v>
          </cell>
          <cell r="N13">
            <v>0.3</v>
          </cell>
          <cell r="O13">
            <v>0.5</v>
          </cell>
          <cell r="P13">
            <v>0</v>
          </cell>
          <cell r="Q13">
            <v>0.6</v>
          </cell>
          <cell r="R13">
            <v>0</v>
          </cell>
          <cell r="S13">
            <v>0</v>
          </cell>
        </row>
      </sheetData>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r="http://schemas.microsoft.com/office/spreadsheetml/2014/revision" xmlns:x14ac="http://schemas.microsoft.com/office/spreadsheetml/2009/9/ac" xmlns:xr2="http://schemas.microsoft.com/office/spreadsheetml/2015/revision2" xmlns:xr3="http://schemas.microsoft.com/office/spreadsheetml/2016/revision3" mc:Ignorable="x14ac xr xr2 xr3" xr:uid="{E7157A3E-7E75-4F9B-AE96-4C3D8B438281}">
  <dimension ref="A1:T18"/>
  <sheetViews>
    <sheetView tabSelected="1" workbookViewId="0" topLeftCell="A1">
      <pane ySplit="1" topLeftCell="A2" activePane="bottomLeft" state="frozen"/>
      <selection pane="topLeft" activeCell="A1" sqref="A1"/>
      <selection pane="bottomLeft" activeCell="P33" sqref="P33"/>
    </sheetView>
  </sheetViews>
  <sheetFormatPr defaultRowHeight="15"/>
  <cols>
    <col min="1" max="1" width="18" style="2" bestFit="1" customWidth="1"/>
    <col min="2" max="2" width="37.1428571428571" style="2" bestFit="1" customWidth="1"/>
    <col min="3" max="3" width="8.14285714285714" style="2" customWidth="1"/>
    <col min="4" max="18" width="7.71428571428571" style="5" customWidth="1"/>
    <col min="19" max="20" width="9.14285714285714" style="5"/>
    <col min="21" max="16384" width="9.14285714285714" style="2"/>
  </cols>
  <sheetData>
    <row r="1" spans="1:20" s="1" customFormat="1" ht="30">
      <c r="A1" s="3" t="s">
        <v>0</v>
      </c>
      <c r="B1" s="3" t="s">
        <v>1</v>
      </c>
      <c r="C1" s="1" t="s">
        <v>49</v>
      </c>
      <c r="D1" s="3" t="s">
        <v>20</v>
      </c>
      <c r="E1" s="3" t="s">
        <v>21</v>
      </c>
      <c r="F1" s="3" t="s">
        <v>28</v>
      </c>
      <c r="G1" s="3" t="s">
        <v>22</v>
      </c>
      <c r="H1" s="3" t="s">
        <v>23</v>
      </c>
      <c r="I1" s="3" t="s">
        <v>24</v>
      </c>
      <c r="J1" s="3" t="s">
        <v>25</v>
      </c>
      <c r="K1" s="3" t="s">
        <v>26</v>
      </c>
      <c r="L1" s="3" t="s">
        <v>27</v>
      </c>
      <c r="M1" s="3" t="s">
        <v>46</v>
      </c>
      <c r="N1" s="3" t="s">
        <v>51</v>
      </c>
      <c r="O1" s="3" t="s">
        <v>47</v>
      </c>
      <c r="P1" s="3" t="s">
        <v>48</v>
      </c>
      <c r="Q1" s="3" t="s">
        <v>29</v>
      </c>
      <c r="R1" s="3" t="s">
        <v>30</v>
      </c>
      <c r="S1" s="3" t="s">
        <v>31</v>
      </c>
      <c r="T1" s="3" t="s">
        <v>32</v>
      </c>
    </row>
    <row r="2" spans="1:20" ht="15">
      <c r="A2" s="14" t="s">
        <v>2</v>
      </c>
      <c r="B2" s="14" t="s">
        <v>3</v>
      </c>
      <c r="C2" s="8"/>
      <c r="D2" s="4">
        <f>moshe</f>
        <v>43</v>
      </c>
      <c r="E2" s="4">
        <f>moshe</f>
        <v>43</v>
      </c>
      <c r="F2" s="4">
        <f>moshe</f>
        <v>43</v>
      </c>
      <c r="G2" s="4">
        <f>moshe</f>
        <v>43</v>
      </c>
      <c r="H2" s="4">
        <f>moshe</f>
        <v>43</v>
      </c>
      <c r="I2" s="4">
        <f>moshe</f>
        <v>43</v>
      </c>
      <c r="J2" s="4">
        <f>moshe</f>
        <v>43</v>
      </c>
      <c r="K2" s="4">
        <f>moshe</f>
        <v>43</v>
      </c>
      <c r="L2" s="4">
        <f>moshe</f>
        <v>43</v>
      </c>
      <c r="M2" s="4">
        <f>moshe</f>
        <v>43</v>
      </c>
      <c r="N2" s="4">
        <f>moshe</f>
        <v>43</v>
      </c>
      <c r="O2" s="4">
        <f>moshe</f>
        <v>43</v>
      </c>
      <c r="P2" s="4">
        <f>moshe</f>
        <v>43</v>
      </c>
      <c r="Q2" s="4">
        <f>moshe</f>
        <v>43</v>
      </c>
      <c r="R2" s="4">
        <f>moshe</f>
        <v>43</v>
      </c>
      <c r="S2" s="5">
        <v>2</v>
      </c>
      <c r="T2" s="5">
        <f>MATCH(B2,'[1]סבב חתימות - מלאי'!$B:$B,0)</f>
        <v>2</v>
      </c>
    </row>
    <row r="3" spans="1:20" ht="15">
      <c r="A3" s="14" t="s">
        <v>2</v>
      </c>
      <c r="B3" s="14" t="s">
        <v>4</v>
      </c>
      <c r="C3" s="8"/>
      <c r="D3" s="4">
        <f>moshe</f>
        <v>43</v>
      </c>
      <c r="E3" s="4">
        <f>moshe</f>
        <v>43</v>
      </c>
      <c r="F3" s="4">
        <f>moshe</f>
        <v>43</v>
      </c>
      <c r="G3" s="4">
        <f>moshe</f>
        <v>43</v>
      </c>
      <c r="H3" s="4">
        <f>moshe</f>
        <v>43</v>
      </c>
      <c r="I3" s="4">
        <f>moshe</f>
        <v>43</v>
      </c>
      <c r="J3" s="4">
        <f>moshe</f>
        <v>43</v>
      </c>
      <c r="K3" s="4">
        <f>moshe</f>
        <v>43</v>
      </c>
      <c r="L3" s="4">
        <f>moshe</f>
        <v>43</v>
      </c>
      <c r="M3" s="4">
        <f>moshe</f>
        <v>43</v>
      </c>
      <c r="N3" s="4">
        <f>moshe</f>
        <v>43</v>
      </c>
      <c r="O3" s="4">
        <f>moshe</f>
        <v>43</v>
      </c>
      <c r="P3" s="4">
        <f>moshe</f>
        <v>43</v>
      </c>
      <c r="Q3" s="4">
        <f>moshe</f>
        <v>43</v>
      </c>
      <c r="R3" s="4">
        <f>moshe</f>
        <v>43</v>
      </c>
      <c r="S3" s="5">
        <v>3</v>
      </c>
      <c r="T3" s="5">
        <f>MATCH(B3,'[1]סבב חתימות - מלאי'!$B:$B,0)</f>
        <v>3</v>
      </c>
    </row>
    <row r="4" spans="1:20" ht="15">
      <c r="A4" s="14" t="s">
        <v>2</v>
      </c>
      <c r="B4" s="14" t="s">
        <v>5</v>
      </c>
      <c r="C4" s="8"/>
      <c r="D4" s="4">
        <f>moshe</f>
        <v>43</v>
      </c>
      <c r="E4" s="4">
        <f>moshe</f>
        <v>43</v>
      </c>
      <c r="F4" s="4">
        <f>moshe</f>
        <v>43</v>
      </c>
      <c r="G4" s="4">
        <f>moshe</f>
        <v>43</v>
      </c>
      <c r="H4" s="4">
        <f>moshe</f>
        <v>15</v>
      </c>
      <c r="I4" s="4">
        <f>moshe</f>
        <v>43</v>
      </c>
      <c r="J4" s="4">
        <f>moshe</f>
        <v>43</v>
      </c>
      <c r="K4" s="4">
        <f>moshe</f>
        <v>43</v>
      </c>
      <c r="L4" s="4">
        <f>moshe</f>
        <v>43</v>
      </c>
      <c r="M4" s="4">
        <f>moshe</f>
        <v>43</v>
      </c>
      <c r="N4" s="4">
        <f>moshe</f>
        <v>43</v>
      </c>
      <c r="O4" s="4">
        <f>moshe</f>
        <v>42</v>
      </c>
      <c r="P4" s="4">
        <f>moshe</f>
        <v>43</v>
      </c>
      <c r="Q4" s="4">
        <f>moshe</f>
        <v>42</v>
      </c>
      <c r="R4" s="4">
        <f>moshe</f>
        <v>43</v>
      </c>
      <c r="S4" s="5">
        <v>4</v>
      </c>
      <c r="T4" s="5">
        <f>MATCH(B4,'[1]סבב חתימות - מלאי'!$B:$B,0)</f>
        <v>4</v>
      </c>
    </row>
    <row r="5" spans="1:20" ht="15">
      <c r="A5" s="14" t="s">
        <v>2</v>
      </c>
      <c r="B5" s="14" t="s">
        <v>6</v>
      </c>
      <c r="C5" s="8"/>
      <c r="D5" s="4">
        <f>moshe</f>
        <v>43</v>
      </c>
      <c r="E5" s="4">
        <f>moshe</f>
        <v>43</v>
      </c>
      <c r="F5" s="4">
        <f>moshe</f>
        <v>43</v>
      </c>
      <c r="G5" s="4">
        <f>moshe</f>
        <v>43</v>
      </c>
      <c r="H5" s="4">
        <f>moshe</f>
        <v>43</v>
      </c>
      <c r="I5" s="4">
        <f>moshe</f>
        <v>43</v>
      </c>
      <c r="J5" s="4">
        <f>moshe</f>
        <v>43</v>
      </c>
      <c r="K5" s="4">
        <f>moshe</f>
        <v>43</v>
      </c>
      <c r="L5" s="4">
        <f>moshe</f>
        <v>43</v>
      </c>
      <c r="M5" s="4">
        <f>moshe</f>
        <v>43</v>
      </c>
      <c r="N5" s="4">
        <f>moshe</f>
        <v>43</v>
      </c>
      <c r="O5" s="4">
        <f>moshe</f>
        <v>44</v>
      </c>
      <c r="P5" s="4">
        <f>moshe</f>
        <v>43</v>
      </c>
      <c r="Q5" s="4">
        <f>moshe</f>
        <v>43</v>
      </c>
      <c r="R5" s="4">
        <f>moshe</f>
        <v>43</v>
      </c>
      <c r="S5" s="5">
        <v>5</v>
      </c>
      <c r="T5" s="5">
        <f>MATCH(B5,'[1]סבב חתימות - מלאי'!$B:$B,0)</f>
        <v>5</v>
      </c>
    </row>
    <row r="6" spans="1:20" s="10" customFormat="1" ht="15">
      <c r="A6" s="14" t="s">
        <v>2</v>
      </c>
      <c r="B6" s="14" t="s">
        <v>7</v>
      </c>
      <c r="C6" s="8"/>
      <c r="D6" s="4">
        <f>moshe</f>
        <v>43</v>
      </c>
      <c r="E6" s="4">
        <f>moshe</f>
        <v>43</v>
      </c>
      <c r="F6" s="4">
        <f>moshe</f>
        <v>15</v>
      </c>
      <c r="G6" s="4">
        <f>moshe</f>
        <v>15</v>
      </c>
      <c r="H6" s="4">
        <f>moshe</f>
        <v>15</v>
      </c>
      <c r="I6" s="4">
        <f>moshe</f>
        <v>15</v>
      </c>
      <c r="J6" s="4">
        <f>moshe</f>
        <v>15</v>
      </c>
      <c r="K6" s="4">
        <f>moshe</f>
        <v>43</v>
      </c>
      <c r="L6" s="4">
        <f>moshe</f>
        <v>15</v>
      </c>
      <c r="M6" s="4">
        <f>moshe</f>
        <v>43</v>
      </c>
      <c r="N6" s="4">
        <f>moshe</f>
        <v>43</v>
      </c>
      <c r="O6" s="4">
        <f>moshe</f>
        <v>43</v>
      </c>
      <c r="P6" s="4">
        <f>moshe</f>
        <v>43</v>
      </c>
      <c r="Q6" s="4">
        <f>moshe</f>
        <v>44</v>
      </c>
      <c r="R6" s="4">
        <f>moshe</f>
        <v>43</v>
      </c>
      <c r="S6" s="5">
        <v>6</v>
      </c>
      <c r="T6" s="5">
        <f>MATCH(B6,'[1]סבב חתימות - מלאי'!$B:$B,0)</f>
        <v>6</v>
      </c>
    </row>
    <row r="7" spans="1:20" ht="15">
      <c r="A7" s="14" t="s">
        <v>2</v>
      </c>
      <c r="B7" s="14" t="s">
        <v>8</v>
      </c>
      <c r="C7" s="8"/>
      <c r="D7" s="4">
        <f>moshe</f>
        <v>43</v>
      </c>
      <c r="E7" s="4">
        <f>moshe</f>
        <v>43</v>
      </c>
      <c r="F7" s="4">
        <f>moshe</f>
        <v>43</v>
      </c>
      <c r="G7" s="4">
        <f>moshe</f>
        <v>43</v>
      </c>
      <c r="H7" s="4">
        <f>moshe</f>
        <v>43</v>
      </c>
      <c r="I7" s="4">
        <f>moshe</f>
        <v>43</v>
      </c>
      <c r="J7" s="4">
        <f>moshe</f>
        <v>43</v>
      </c>
      <c r="K7" s="4">
        <f>moshe</f>
        <v>43</v>
      </c>
      <c r="L7" s="4">
        <f>moshe</f>
        <v>43</v>
      </c>
      <c r="M7" s="4">
        <f>moshe</f>
        <v>43</v>
      </c>
      <c r="N7" s="4">
        <f>moshe</f>
        <v>43</v>
      </c>
      <c r="O7" s="4">
        <f>moshe</f>
        <v>43</v>
      </c>
      <c r="P7" s="4">
        <f>moshe</f>
        <v>43</v>
      </c>
      <c r="Q7" s="4">
        <f>moshe</f>
        <v>43</v>
      </c>
      <c r="R7" s="4">
        <f>moshe</f>
        <v>43</v>
      </c>
      <c r="S7" s="5">
        <v>7</v>
      </c>
      <c r="T7" s="5">
        <f>MATCH(B7,'[1]סבב חתימות - מלאי'!$B:$B,0)</f>
        <v>7</v>
      </c>
    </row>
    <row r="8" spans="1:20" ht="15">
      <c r="A8" s="14" t="s">
        <v>2</v>
      </c>
      <c r="B8" s="14" t="s">
        <v>9</v>
      </c>
      <c r="C8" s="8"/>
      <c r="D8" s="4">
        <f>moshe</f>
        <v>43</v>
      </c>
      <c r="E8" s="4">
        <f>moshe</f>
        <v>43</v>
      </c>
      <c r="F8" s="4">
        <f>moshe</f>
        <v>42</v>
      </c>
      <c r="G8" s="4">
        <f>moshe</f>
        <v>42</v>
      </c>
      <c r="H8" s="4">
        <f>moshe</f>
        <v>42</v>
      </c>
      <c r="I8" s="4">
        <f>moshe</f>
        <v>42</v>
      </c>
      <c r="J8" s="4">
        <f>moshe</f>
        <v>42</v>
      </c>
      <c r="K8" s="4">
        <f>moshe</f>
        <v>42</v>
      </c>
      <c r="L8" s="4">
        <f>moshe</f>
        <v>43</v>
      </c>
      <c r="M8" s="4">
        <f>moshe</f>
        <v>42</v>
      </c>
      <c r="N8" s="4">
        <f>moshe</f>
        <v>43</v>
      </c>
      <c r="O8" s="4">
        <f>moshe</f>
        <v>42</v>
      </c>
      <c r="P8" s="4">
        <f>moshe</f>
        <v>42</v>
      </c>
      <c r="Q8" s="4">
        <f>moshe</f>
        <v>44</v>
      </c>
      <c r="R8" s="4">
        <f>moshe</f>
        <v>44</v>
      </c>
      <c r="S8" s="5">
        <v>8</v>
      </c>
      <c r="T8" s="5">
        <f>MATCH(B8,'[1]סבב חתימות - מלאי'!$B:$B,0)</f>
        <v>8</v>
      </c>
    </row>
    <row r="9" spans="1:20" ht="15">
      <c r="A9" s="14" t="s">
        <v>2</v>
      </c>
      <c r="B9" s="14" t="s">
        <v>10</v>
      </c>
      <c r="C9" s="8"/>
      <c r="D9" s="4">
        <f>moshe</f>
        <v>43</v>
      </c>
      <c r="E9" s="4">
        <f>moshe</f>
        <v>43</v>
      </c>
      <c r="F9" s="4">
        <f>moshe</f>
        <v>43</v>
      </c>
      <c r="G9" s="4">
        <f>moshe</f>
        <v>43</v>
      </c>
      <c r="H9" s="4">
        <f>moshe</f>
        <v>43</v>
      </c>
      <c r="I9" s="4">
        <f>moshe</f>
        <v>43</v>
      </c>
      <c r="J9" s="4">
        <f>moshe</f>
        <v>43</v>
      </c>
      <c r="K9" s="4">
        <f>moshe</f>
        <v>43</v>
      </c>
      <c r="L9" s="4">
        <f>moshe</f>
        <v>43</v>
      </c>
      <c r="M9" s="4">
        <f>moshe</f>
        <v>43</v>
      </c>
      <c r="N9" s="4">
        <f>moshe</f>
        <v>43</v>
      </c>
      <c r="O9" s="4">
        <f>moshe</f>
        <v>42</v>
      </c>
      <c r="P9" s="4">
        <f>moshe</f>
        <v>43</v>
      </c>
      <c r="Q9" s="4">
        <f>moshe</f>
        <v>43</v>
      </c>
      <c r="R9" s="4">
        <f>moshe</f>
        <v>44</v>
      </c>
      <c r="S9" s="5">
        <v>9</v>
      </c>
      <c r="T9" s="5">
        <f>MATCH(B9,'[1]סבב חתימות - מלאי'!$B:$B,0)</f>
        <v>9</v>
      </c>
    </row>
    <row r="10" spans="1:20" ht="15">
      <c r="A10" s="14" t="s">
        <v>2</v>
      </c>
      <c r="B10" s="14" t="s">
        <v>11</v>
      </c>
      <c r="C10" s="8"/>
      <c r="D10" s="4">
        <f>moshe</f>
        <v>43</v>
      </c>
      <c r="E10" s="4">
        <f>moshe</f>
        <v>43</v>
      </c>
      <c r="F10" s="4">
        <f>moshe</f>
        <v>43</v>
      </c>
      <c r="G10" s="4">
        <f>moshe</f>
        <v>43</v>
      </c>
      <c r="H10" s="4">
        <f>moshe</f>
        <v>43</v>
      </c>
      <c r="I10" s="4">
        <f>moshe</f>
        <v>43</v>
      </c>
      <c r="J10" s="4">
        <f>moshe</f>
        <v>43</v>
      </c>
      <c r="K10" s="4">
        <f>moshe</f>
        <v>43</v>
      </c>
      <c r="L10" s="4">
        <f>moshe</f>
        <v>43</v>
      </c>
      <c r="M10" s="4">
        <f>moshe</f>
        <v>43</v>
      </c>
      <c r="N10" s="4">
        <f>moshe</f>
        <v>43</v>
      </c>
      <c r="O10" s="4">
        <f>moshe</f>
        <v>43</v>
      </c>
      <c r="P10" s="4">
        <f>moshe</f>
        <v>43</v>
      </c>
      <c r="Q10" s="4">
        <f>moshe</f>
        <v>42</v>
      </c>
      <c r="R10" s="4">
        <f>moshe</f>
        <v>43</v>
      </c>
      <c r="S10" s="5">
        <v>10</v>
      </c>
      <c r="T10" s="5">
        <f>MATCH(B10,'[1]סבב חתימות - מלאי'!$B:$B,0)</f>
        <v>10</v>
      </c>
    </row>
    <row r="11" spans="1:20" ht="15">
      <c r="A11" s="14" t="s">
        <v>2</v>
      </c>
      <c r="B11" s="14" t="s">
        <v>12</v>
      </c>
      <c r="C11" s="8"/>
      <c r="D11" s="4">
        <f>moshe</f>
        <v>43</v>
      </c>
      <c r="E11" s="4">
        <f>moshe</f>
        <v>43</v>
      </c>
      <c r="F11" s="4">
        <f>moshe</f>
        <v>43</v>
      </c>
      <c r="G11" s="4">
        <f>moshe</f>
        <v>43</v>
      </c>
      <c r="H11" s="4">
        <f>moshe</f>
        <v>43</v>
      </c>
      <c r="I11" s="4">
        <f>moshe</f>
        <v>43</v>
      </c>
      <c r="J11" s="4">
        <f>moshe</f>
        <v>43</v>
      </c>
      <c r="K11" s="4">
        <f>moshe</f>
        <v>15</v>
      </c>
      <c r="L11" s="4">
        <f>moshe</f>
        <v>43</v>
      </c>
      <c r="M11" s="4">
        <f>moshe</f>
        <v>43</v>
      </c>
      <c r="N11" s="4">
        <f>moshe</f>
        <v>43</v>
      </c>
      <c r="O11" s="4">
        <f>moshe</f>
        <v>43</v>
      </c>
      <c r="P11" s="4">
        <f>moshe</f>
        <v>43</v>
      </c>
      <c r="Q11" s="4">
        <f>moshe</f>
        <v>43</v>
      </c>
      <c r="R11" s="4">
        <f>moshe</f>
        <v>43</v>
      </c>
      <c r="S11" s="5">
        <v>11</v>
      </c>
      <c r="T11" s="5">
        <f>MATCH(B11,'[1]סבב חתימות - מלאי'!$B:$B,0)</f>
        <v>11</v>
      </c>
    </row>
    <row r="12" spans="1:20" ht="15">
      <c r="A12" s="14" t="s">
        <v>2</v>
      </c>
      <c r="B12" s="14" t="s">
        <v>13</v>
      </c>
      <c r="C12" s="8"/>
      <c r="D12" s="4">
        <f>moshe</f>
        <v>43</v>
      </c>
      <c r="E12" s="4">
        <f>moshe</f>
        <v>43</v>
      </c>
      <c r="F12" s="4">
        <f>moshe</f>
        <v>43</v>
      </c>
      <c r="G12" s="4">
        <f>moshe</f>
        <v>43</v>
      </c>
      <c r="H12" s="4">
        <f>moshe</f>
        <v>43</v>
      </c>
      <c r="I12" s="4">
        <f>moshe</f>
        <v>43</v>
      </c>
      <c r="J12" s="4">
        <f>moshe</f>
        <v>43</v>
      </c>
      <c r="K12" s="4">
        <f>moshe</f>
        <v>15</v>
      </c>
      <c r="L12" s="4">
        <f>moshe</f>
        <v>43</v>
      </c>
      <c r="M12" s="4">
        <f>moshe</f>
        <v>43</v>
      </c>
      <c r="N12" s="4">
        <f>moshe</f>
        <v>43</v>
      </c>
      <c r="O12" s="4">
        <f>moshe</f>
        <v>43</v>
      </c>
      <c r="P12" s="4">
        <f>moshe</f>
        <v>43</v>
      </c>
      <c r="Q12" s="4">
        <f>moshe</f>
        <v>43</v>
      </c>
      <c r="R12" s="4">
        <f>moshe</f>
        <v>43</v>
      </c>
      <c r="S12" s="5">
        <v>12</v>
      </c>
      <c r="T12" s="5">
        <f>MATCH(B12,'[1]סבב חתימות - מלאי'!$B:$B,0)</f>
        <v>12</v>
      </c>
    </row>
    <row r="13" spans="1:20" ht="15">
      <c r="A13" s="14" t="s">
        <v>2</v>
      </c>
      <c r="B13" s="14" t="s">
        <v>14</v>
      </c>
      <c r="C13" s="8"/>
      <c r="D13" s="4">
        <f>moshe</f>
        <v>43</v>
      </c>
      <c r="E13" s="4">
        <f>moshe</f>
        <v>43</v>
      </c>
      <c r="F13" s="4">
        <f>moshe</f>
        <v>43</v>
      </c>
      <c r="G13" s="4">
        <f>moshe</f>
        <v>43</v>
      </c>
      <c r="H13" s="4">
        <f>moshe</f>
        <v>15</v>
      </c>
      <c r="I13" s="4">
        <f>moshe</f>
        <v>43</v>
      </c>
      <c r="J13" s="4">
        <f>moshe</f>
        <v>43</v>
      </c>
      <c r="K13" s="4">
        <f>moshe</f>
        <v>43</v>
      </c>
      <c r="L13" s="4">
        <f>moshe</f>
        <v>43</v>
      </c>
      <c r="M13" s="4">
        <f>moshe</f>
        <v>43</v>
      </c>
      <c r="N13" s="4">
        <f>moshe</f>
        <v>43</v>
      </c>
      <c r="O13" s="4">
        <f>moshe</f>
        <v>43</v>
      </c>
      <c r="P13" s="4">
        <f>moshe</f>
        <v>43</v>
      </c>
      <c r="Q13" s="4">
        <f>moshe</f>
        <v>43</v>
      </c>
      <c r="R13" s="4">
        <f>moshe</f>
        <v>43</v>
      </c>
      <c r="S13" s="5">
        <v>13</v>
      </c>
      <c r="T13" s="5">
        <f>MATCH(B13,'[1]סבב חתימות - מלאי'!$B:$B,0)</f>
        <v>13</v>
      </c>
    </row>
    <row r="14" spans="1:20" ht="15">
      <c r="A14" s="14" t="s">
        <v>2</v>
      </c>
      <c r="B14" s="14" t="s">
        <v>15</v>
      </c>
      <c r="C14" s="8"/>
      <c r="D14" s="4">
        <f>moshe</f>
        <v>43</v>
      </c>
      <c r="E14" s="4">
        <f>moshe</f>
        <v>43</v>
      </c>
      <c r="F14" s="4">
        <f>moshe</f>
        <v>43</v>
      </c>
      <c r="G14" s="4">
        <f>moshe</f>
        <v>43</v>
      </c>
      <c r="H14" s="4">
        <f>moshe</f>
        <v>43</v>
      </c>
      <c r="I14" s="4">
        <f>moshe</f>
        <v>43</v>
      </c>
      <c r="J14" s="4">
        <f>moshe</f>
        <v>43</v>
      </c>
      <c r="K14" s="4">
        <f>moshe</f>
        <v>43</v>
      </c>
      <c r="L14" s="4">
        <f>moshe</f>
        <v>43</v>
      </c>
      <c r="M14" s="4">
        <f>moshe</f>
        <v>43</v>
      </c>
      <c r="N14" s="4">
        <f>moshe</f>
        <v>43</v>
      </c>
      <c r="O14" s="4">
        <f>moshe</f>
        <v>42</v>
      </c>
      <c r="P14" s="4">
        <f>moshe</f>
        <v>43</v>
      </c>
      <c r="Q14" s="4">
        <f>moshe</f>
        <v>42</v>
      </c>
      <c r="R14" s="4">
        <f>moshe</f>
        <v>43</v>
      </c>
      <c r="S14" s="5">
        <v>14</v>
      </c>
      <c r="T14" s="5">
        <f>MATCH(B14,'[1]סבב חתימות - מלאי'!$B:$B,0)</f>
        <v>14</v>
      </c>
    </row>
    <row r="15" spans="1:20" ht="15">
      <c r="A15" s="14" t="s">
        <v>2</v>
      </c>
      <c r="B15" s="14" t="s">
        <v>16</v>
      </c>
      <c r="C15" s="8"/>
      <c r="D15" s="4">
        <f>moshe</f>
        <v>43</v>
      </c>
      <c r="E15" s="4">
        <f>moshe</f>
        <v>43</v>
      </c>
      <c r="F15" s="4">
        <f>moshe</f>
        <v>43</v>
      </c>
      <c r="G15" s="4">
        <f>moshe</f>
        <v>43</v>
      </c>
      <c r="H15" s="4">
        <f>moshe</f>
        <v>43</v>
      </c>
      <c r="I15" s="4">
        <f>moshe</f>
        <v>43</v>
      </c>
      <c r="J15" s="4">
        <f>moshe</f>
        <v>43</v>
      </c>
      <c r="K15" s="4">
        <f>moshe</f>
        <v>15</v>
      </c>
      <c r="L15" s="4">
        <f>moshe</f>
        <v>43</v>
      </c>
      <c r="M15" s="4">
        <f>moshe</f>
        <v>43</v>
      </c>
      <c r="N15" s="4">
        <f>moshe</f>
        <v>43</v>
      </c>
      <c r="O15" s="4">
        <f>moshe</f>
        <v>43</v>
      </c>
      <c r="P15" s="4">
        <f>moshe</f>
        <v>43</v>
      </c>
      <c r="Q15" s="4">
        <f>moshe</f>
        <v>43</v>
      </c>
      <c r="R15" s="4">
        <f>moshe</f>
        <v>43</v>
      </c>
      <c r="S15" s="5">
        <v>15</v>
      </c>
      <c r="T15" s="5">
        <f>MATCH(B15,'[1]סבב חתימות - מלאי'!$B:$B,0)</f>
        <v>15</v>
      </c>
    </row>
    <row r="16" spans="1:20" ht="15">
      <c r="A16" s="14" t="s">
        <v>2</v>
      </c>
      <c r="B16" s="14" t="s">
        <v>17</v>
      </c>
      <c r="C16" s="9"/>
      <c r="D16" s="4">
        <f>moshe</f>
        <v>43</v>
      </c>
      <c r="E16" s="4">
        <f>moshe</f>
        <v>43</v>
      </c>
      <c r="F16" s="4">
        <f>moshe</f>
        <v>43</v>
      </c>
      <c r="G16" s="4">
        <f>moshe</f>
        <v>43</v>
      </c>
      <c r="H16" s="4">
        <f>moshe</f>
        <v>43</v>
      </c>
      <c r="I16" s="4">
        <f>moshe</f>
        <v>43</v>
      </c>
      <c r="J16" s="4">
        <f>moshe</f>
        <v>43</v>
      </c>
      <c r="K16" s="4">
        <f>moshe</f>
        <v>43</v>
      </c>
      <c r="L16" s="4">
        <f>moshe</f>
        <v>43</v>
      </c>
      <c r="M16" s="4">
        <f>moshe</f>
        <v>43</v>
      </c>
      <c r="N16" s="4">
        <f>moshe</f>
        <v>43</v>
      </c>
      <c r="O16" s="4">
        <f>moshe</f>
        <v>43</v>
      </c>
      <c r="P16" s="4">
        <f>moshe</f>
        <v>43</v>
      </c>
      <c r="Q16" s="4">
        <f>moshe</f>
        <v>43</v>
      </c>
      <c r="R16" s="4">
        <f>moshe</f>
        <v>43</v>
      </c>
      <c r="S16" s="5">
        <v>16</v>
      </c>
      <c r="T16" s="5">
        <f>MATCH(B16,'[1]סבב חתימות - מלאי'!$B:$B,0)</f>
        <v>16</v>
      </c>
    </row>
    <row r="17" spans="1:20" ht="15">
      <c r="A17" s="14" t="s">
        <v>2</v>
      </c>
      <c r="B17" s="14" t="s">
        <v>18</v>
      </c>
      <c r="C17" s="8"/>
      <c r="D17" s="4">
        <f>moshe</f>
        <v>43</v>
      </c>
      <c r="E17" s="4">
        <f>moshe</f>
        <v>43</v>
      </c>
      <c r="F17" s="4">
        <f>moshe</f>
        <v>43</v>
      </c>
      <c r="G17" s="4">
        <f>moshe</f>
        <v>43</v>
      </c>
      <c r="H17" s="4">
        <f>moshe</f>
        <v>43</v>
      </c>
      <c r="I17" s="4">
        <f>moshe</f>
        <v>43</v>
      </c>
      <c r="J17" s="4">
        <f>moshe</f>
        <v>43</v>
      </c>
      <c r="K17" s="4">
        <f>moshe</f>
        <v>15</v>
      </c>
      <c r="L17" s="4">
        <f>moshe</f>
        <v>43</v>
      </c>
      <c r="M17" s="4">
        <f>moshe</f>
        <v>43</v>
      </c>
      <c r="N17" s="4">
        <f>moshe</f>
        <v>43</v>
      </c>
      <c r="O17" s="4">
        <f>moshe</f>
        <v>43</v>
      </c>
      <c r="P17" s="4">
        <f>moshe</f>
        <v>43</v>
      </c>
      <c r="Q17" s="4">
        <f>moshe</f>
        <v>43</v>
      </c>
      <c r="R17" s="4">
        <f>moshe</f>
        <v>43</v>
      </c>
      <c r="S17" s="5">
        <v>17</v>
      </c>
      <c r="T17" s="5">
        <f>MATCH(B17,'[1]סבב חתימות - מלאי'!$B:$B,0)</f>
        <v>17</v>
      </c>
    </row>
    <row r="18" spans="1:20" ht="15">
      <c r="A18" s="14" t="s">
        <v>2</v>
      </c>
      <c r="B18" s="14" t="s">
        <v>19</v>
      </c>
      <c r="C18" s="8"/>
      <c r="D18" s="4">
        <f>moshe</f>
        <v>43</v>
      </c>
      <c r="E18" s="4">
        <f>moshe</f>
        <v>43</v>
      </c>
      <c r="F18" s="4">
        <f>moshe</f>
        <v>43</v>
      </c>
      <c r="G18" s="4">
        <f>moshe</f>
        <v>43</v>
      </c>
      <c r="H18" s="4">
        <f>moshe</f>
        <v>43</v>
      </c>
      <c r="I18" s="4">
        <f>moshe</f>
        <v>43</v>
      </c>
      <c r="J18" s="4">
        <f>moshe</f>
        <v>43</v>
      </c>
      <c r="K18" s="4">
        <f>moshe</f>
        <v>43</v>
      </c>
      <c r="L18" s="4">
        <f>moshe</f>
        <v>43</v>
      </c>
      <c r="M18" s="4">
        <f>moshe</f>
        <v>43</v>
      </c>
      <c r="N18" s="4">
        <f>moshe</f>
        <v>43</v>
      </c>
      <c r="O18" s="4">
        <f>moshe</f>
        <v>42</v>
      </c>
      <c r="P18" s="4">
        <f>moshe</f>
        <v>43</v>
      </c>
      <c r="Q18" s="4">
        <f>moshe</f>
        <v>43</v>
      </c>
      <c r="R18" s="4">
        <f>moshe</f>
        <v>43</v>
      </c>
      <c r="S18" s="5">
        <v>18</v>
      </c>
      <c r="T18" s="5">
        <f>MATCH(B18,'[1]סבב חתימות - מלאי'!$B:$B,0)</f>
        <v>18</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r="http://schemas.microsoft.com/office/spreadsheetml/2014/revision" xmlns:x14ac="http://schemas.microsoft.com/office/spreadsheetml/2009/9/ac" xmlns:xr2="http://schemas.microsoft.com/office/spreadsheetml/2015/revision2" xmlns:xr3="http://schemas.microsoft.com/office/spreadsheetml/2016/revision3" mc:Ignorable="x14ac xr xr2 xr3" xr:uid="{EB398C8E-F88A-4FF1-90C2-05C74E0D7E5B}">
  <dimension ref="A1:U21"/>
  <sheetViews>
    <sheetView workbookViewId="0" topLeftCell="A1">
      <pane ySplit="1" topLeftCell="A2" activePane="bottomLeft" state="frozen"/>
      <selection pane="topLeft" activeCell="A1" sqref="A1"/>
      <selection pane="bottomLeft" activeCell="N9" sqref="N9"/>
    </sheetView>
  </sheetViews>
  <sheetFormatPr defaultRowHeight="15"/>
  <cols>
    <col min="1" max="1" width="16.5714285714286" style="12" bestFit="1" customWidth="1"/>
    <col min="2" max="2" width="24.1428571428571" style="13" bestFit="1" customWidth="1"/>
    <col min="3" max="3" width="7.71428571428571" style="2" bestFit="1" customWidth="1"/>
    <col min="4" max="19" width="8.42857142857143" style="3" customWidth="1"/>
    <col min="20" max="21" width="8.42857142857143" style="5" customWidth="1"/>
    <col min="22" max="16384" width="9.14285714285714" style="2"/>
  </cols>
  <sheetData>
    <row r="1" spans="1:21" ht="30">
      <c r="A1" s="6" t="s">
        <v>0</v>
      </c>
      <c r="B1" s="7" t="s">
        <v>1</v>
      </c>
      <c r="C1" s="3" t="s">
        <v>49</v>
      </c>
      <c r="D1" s="3" t="s">
        <v>20</v>
      </c>
      <c r="E1" s="3" t="s">
        <v>21</v>
      </c>
      <c r="F1" s="3" t="s">
        <v>28</v>
      </c>
      <c r="G1" s="3" t="s">
        <v>22</v>
      </c>
      <c r="H1" s="3" t="s">
        <v>50</v>
      </c>
      <c r="I1" s="3" t="s">
        <v>23</v>
      </c>
      <c r="J1" s="3" t="s">
        <v>24</v>
      </c>
      <c r="K1" s="3" t="s">
        <v>25</v>
      </c>
      <c r="L1" s="3" t="s">
        <v>26</v>
      </c>
      <c r="M1" s="11" t="s">
        <v>27</v>
      </c>
      <c r="N1" s="11" t="s">
        <v>46</v>
      </c>
      <c r="O1" s="11" t="s">
        <v>51</v>
      </c>
      <c r="P1" s="11" t="s">
        <v>47</v>
      </c>
      <c r="Q1" s="11" t="s">
        <v>48</v>
      </c>
      <c r="R1" s="11" t="s">
        <v>29</v>
      </c>
      <c r="S1" s="11" t="s">
        <v>30</v>
      </c>
      <c r="T1" s="3" t="s">
        <v>31</v>
      </c>
      <c r="U1" s="3" t="s">
        <v>32</v>
      </c>
    </row>
    <row r="2" spans="1:21" ht="15">
      <c r="A2" s="12" t="s">
        <v>33</v>
      </c>
      <c r="B2" s="13" t="s">
        <v>34</v>
      </c>
      <c r="C2" s="2" t="s">
        <v>35</v>
      </c>
      <c r="D2" s="3">
        <f>moshe1</f>
        <v>43</v>
      </c>
      <c r="E2" s="3">
        <f>moshe1</f>
        <v>43</v>
      </c>
      <c r="F2" s="3">
        <f>moshe1</f>
        <v>43</v>
      </c>
      <c r="G2" s="3">
        <f>moshe1</f>
        <v>43</v>
      </c>
      <c r="H2" s="3">
        <f>moshe1</f>
        <v>43</v>
      </c>
      <c r="I2" s="3">
        <f>moshe1</f>
        <v>42</v>
      </c>
      <c r="J2" s="3">
        <f>moshe1</f>
        <v>43</v>
      </c>
      <c r="K2" s="3">
        <f>moshe1</f>
        <v>43</v>
      </c>
      <c r="L2" s="3">
        <f>moshe1</f>
        <v>43</v>
      </c>
      <c r="M2" s="3">
        <f>moshe1</f>
        <v>43</v>
      </c>
      <c r="N2" s="3">
        <f>moshe1</f>
        <v>42</v>
      </c>
      <c r="O2" s="3">
        <f>moshe1</f>
        <v>43</v>
      </c>
      <c r="P2" s="3">
        <f>moshe1</f>
        <v>43</v>
      </c>
      <c r="Q2" s="3">
        <f>moshe1</f>
        <v>43</v>
      </c>
      <c r="R2" s="3">
        <f>moshe1</f>
        <v>42</v>
      </c>
      <c r="S2" s="3">
        <f>moshe1</f>
        <v>43</v>
      </c>
      <c r="T2" s="5">
        <v>2</v>
      </c>
      <c r="U2" s="5">
        <f>MATCH(B2,'[1]סבב חתימות - שרשרת'!$B:$B,0)</f>
        <v>2</v>
      </c>
    </row>
    <row r="3" spans="1:21" ht="15">
      <c r="A3" s="12" t="s">
        <v>33</v>
      </c>
      <c r="B3" s="13" t="s">
        <v>36</v>
      </c>
      <c r="C3" s="2" t="s">
        <v>35</v>
      </c>
      <c r="D3" s="3">
        <f>moshe1</f>
        <v>43</v>
      </c>
      <c r="E3" s="3">
        <f>moshe1</f>
        <v>43</v>
      </c>
      <c r="F3" s="3">
        <f>moshe1</f>
        <v>43</v>
      </c>
      <c r="G3" s="3">
        <f>moshe1</f>
        <v>43</v>
      </c>
      <c r="H3" s="3">
        <f>moshe1</f>
        <v>43</v>
      </c>
      <c r="I3" s="3">
        <f>moshe1</f>
        <v>42</v>
      </c>
      <c r="J3" s="3">
        <f>moshe1</f>
        <v>43</v>
      </c>
      <c r="K3" s="3">
        <f>moshe1</f>
        <v>43</v>
      </c>
      <c r="L3" s="3">
        <f>moshe1</f>
        <v>43</v>
      </c>
      <c r="M3" s="3">
        <f>moshe1</f>
        <v>43</v>
      </c>
      <c r="N3" s="3">
        <f>moshe1</f>
        <v>42</v>
      </c>
      <c r="O3" s="3">
        <f>moshe1</f>
        <v>42</v>
      </c>
      <c r="P3" s="3">
        <f>moshe1</f>
        <v>43</v>
      </c>
      <c r="Q3" s="3">
        <f>moshe1</f>
        <v>43</v>
      </c>
      <c r="R3" s="3">
        <f>moshe1</f>
        <v>42</v>
      </c>
      <c r="S3" s="3">
        <f>moshe1</f>
        <v>43</v>
      </c>
      <c r="T3" s="5">
        <v>3</v>
      </c>
      <c r="U3" s="5">
        <f>MATCH(B3,'[1]סבב חתימות - שרשרת'!$B:$B,0)</f>
        <v>3</v>
      </c>
    </row>
    <row r="4" spans="1:21" ht="15">
      <c r="A4" s="12" t="s">
        <v>33</v>
      </c>
      <c r="B4" s="13" t="s">
        <v>37</v>
      </c>
      <c r="C4" s="2" t="s">
        <v>35</v>
      </c>
      <c r="D4" s="3">
        <f>moshe1</f>
        <v>43</v>
      </c>
      <c r="E4" s="3">
        <f>moshe1</f>
        <v>43</v>
      </c>
      <c r="F4" s="3">
        <f>moshe1</f>
        <v>43</v>
      </c>
      <c r="G4" s="3">
        <f>moshe1</f>
        <v>43</v>
      </c>
      <c r="H4" s="3">
        <f>moshe1</f>
        <v>43</v>
      </c>
      <c r="I4" s="3">
        <f>moshe1</f>
        <v>42</v>
      </c>
      <c r="J4" s="3">
        <f>moshe1</f>
        <v>43</v>
      </c>
      <c r="K4" s="3">
        <f>moshe1</f>
        <v>43</v>
      </c>
      <c r="L4" s="3">
        <f>moshe1</f>
        <v>43</v>
      </c>
      <c r="M4" s="3">
        <f>moshe1</f>
        <v>43</v>
      </c>
      <c r="N4" s="3">
        <f>moshe1</f>
        <v>42</v>
      </c>
      <c r="O4" s="3">
        <f>moshe1</f>
        <v>42</v>
      </c>
      <c r="P4" s="3">
        <f>moshe1</f>
        <v>42</v>
      </c>
      <c r="Q4" s="3">
        <f>moshe1</f>
        <v>43</v>
      </c>
      <c r="R4" s="3">
        <f>moshe1</f>
        <v>42</v>
      </c>
      <c r="S4" s="3">
        <f>moshe1</f>
        <v>44</v>
      </c>
      <c r="T4" s="5">
        <v>4</v>
      </c>
      <c r="U4" s="5">
        <f>MATCH(B4,'[1]סבב חתימות - שרשרת'!$B:$B,0)</f>
        <v>4</v>
      </c>
    </row>
    <row r="5" spans="1:21" ht="15">
      <c r="A5" s="12" t="s">
        <v>33</v>
      </c>
      <c r="B5" s="13" t="s">
        <v>38</v>
      </c>
      <c r="C5" s="2" t="s">
        <v>39</v>
      </c>
      <c r="D5" s="3">
        <f>moshe1</f>
        <v>43</v>
      </c>
      <c r="E5" s="3">
        <f>moshe1</f>
        <v>43</v>
      </c>
      <c r="F5" s="3">
        <f>moshe1</f>
        <v>43</v>
      </c>
      <c r="G5" s="3">
        <f>moshe1</f>
        <v>15</v>
      </c>
      <c r="H5" s="3">
        <f>moshe1</f>
        <v>43</v>
      </c>
      <c r="I5" s="3">
        <f>moshe1</f>
        <v>43</v>
      </c>
      <c r="J5" s="3">
        <f>moshe1</f>
        <v>43</v>
      </c>
      <c r="K5" s="3">
        <f>moshe1</f>
        <v>15</v>
      </c>
      <c r="L5" s="3">
        <f>moshe1</f>
        <v>43</v>
      </c>
      <c r="M5" s="3">
        <f>moshe1</f>
        <v>43</v>
      </c>
      <c r="N5" s="3">
        <f>moshe1</f>
        <v>43</v>
      </c>
      <c r="O5" s="3">
        <f>moshe1</f>
        <v>43</v>
      </c>
      <c r="P5" s="3">
        <f>moshe1</f>
        <v>43</v>
      </c>
      <c r="Q5" s="3">
        <f>moshe1</f>
        <v>43</v>
      </c>
      <c r="R5" s="3">
        <f>moshe1</f>
        <v>42</v>
      </c>
      <c r="S5" s="3">
        <f>moshe1</f>
        <v>43</v>
      </c>
      <c r="T5" s="5">
        <v>5</v>
      </c>
      <c r="U5" s="5">
        <f>MATCH(B5,'[1]סבב חתימות - שרשרת'!$B:$B,0)</f>
        <v>5</v>
      </c>
    </row>
    <row r="6" spans="1:21" ht="15">
      <c r="A6" s="12" t="s">
        <v>33</v>
      </c>
      <c r="B6" s="13" t="s">
        <v>40</v>
      </c>
      <c r="C6" s="2" t="s">
        <v>39</v>
      </c>
      <c r="D6" s="3">
        <f>moshe1</f>
        <v>43</v>
      </c>
      <c r="E6" s="3">
        <f>moshe1</f>
        <v>43</v>
      </c>
      <c r="F6" s="3">
        <f>moshe1</f>
        <v>43</v>
      </c>
      <c r="G6" s="3">
        <f>moshe1</f>
        <v>15</v>
      </c>
      <c r="H6" s="3">
        <f>moshe1</f>
        <v>43</v>
      </c>
      <c r="I6" s="3">
        <f>moshe1</f>
        <v>42</v>
      </c>
      <c r="J6" s="3">
        <f>moshe1</f>
        <v>15</v>
      </c>
      <c r="K6" s="3">
        <f>moshe1</f>
        <v>43</v>
      </c>
      <c r="L6" s="3">
        <f>moshe1</f>
        <v>43</v>
      </c>
      <c r="M6" s="3">
        <f>moshe1</f>
        <v>43</v>
      </c>
      <c r="N6" s="3">
        <f>moshe1</f>
        <v>43</v>
      </c>
      <c r="O6" s="3">
        <f>moshe1</f>
        <v>43</v>
      </c>
      <c r="P6" s="3">
        <f>moshe1</f>
        <v>43</v>
      </c>
      <c r="Q6" s="3">
        <f>moshe1</f>
        <v>43</v>
      </c>
      <c r="R6" s="3">
        <f>moshe1</f>
        <v>42</v>
      </c>
      <c r="S6" s="3">
        <f>moshe1</f>
        <v>43</v>
      </c>
      <c r="T6" s="5">
        <v>6</v>
      </c>
      <c r="U6" s="5">
        <f>MATCH(B6,'[1]סבב חתימות - שרשרת'!$B:$B,0)</f>
        <v>6</v>
      </c>
    </row>
    <row r="7" spans="1:21" ht="15">
      <c r="A7" s="12" t="s">
        <v>33</v>
      </c>
      <c r="B7" s="13" t="s">
        <v>41</v>
      </c>
      <c r="C7" s="2" t="s">
        <v>39</v>
      </c>
      <c r="D7" s="3">
        <f>moshe1</f>
        <v>43</v>
      </c>
      <c r="E7" s="3">
        <f>moshe1</f>
        <v>43</v>
      </c>
      <c r="F7" s="3">
        <f>moshe1</f>
        <v>43</v>
      </c>
      <c r="G7" s="3">
        <f>moshe1</f>
        <v>15</v>
      </c>
      <c r="H7" s="3">
        <f>moshe1</f>
        <v>43</v>
      </c>
      <c r="I7" s="3">
        <f>moshe1</f>
        <v>15</v>
      </c>
      <c r="J7" s="3">
        <f>moshe1</f>
        <v>43</v>
      </c>
      <c r="K7" s="3">
        <f>moshe1</f>
        <v>43</v>
      </c>
      <c r="L7" s="3">
        <f>moshe1</f>
        <v>43</v>
      </c>
      <c r="M7" s="3">
        <f>moshe1</f>
        <v>43</v>
      </c>
      <c r="N7" s="3">
        <f>moshe1</f>
        <v>43</v>
      </c>
      <c r="O7" s="3">
        <f>moshe1</f>
        <v>43</v>
      </c>
      <c r="P7" s="3">
        <f>moshe1</f>
        <v>43</v>
      </c>
      <c r="Q7" s="3">
        <f>moshe1</f>
        <v>43</v>
      </c>
      <c r="R7" s="3">
        <f>moshe1</f>
        <v>42</v>
      </c>
      <c r="S7" s="3">
        <f>moshe1</f>
        <v>43</v>
      </c>
      <c r="T7" s="5">
        <v>7</v>
      </c>
      <c r="U7" s="5">
        <f>MATCH(B7,'[1]סבב חתימות - שרשרת'!$B:$B,0)</f>
        <v>7</v>
      </c>
    </row>
    <row r="8" spans="1:21" ht="15">
      <c r="A8" s="12" t="s">
        <v>33</v>
      </c>
      <c r="B8" s="13" t="s">
        <v>42</v>
      </c>
      <c r="C8" s="2" t="s">
        <v>35</v>
      </c>
      <c r="D8" s="3">
        <f>moshe1</f>
        <v>43</v>
      </c>
      <c r="E8" s="3">
        <f>moshe1</f>
        <v>43</v>
      </c>
      <c r="F8" s="3">
        <f>moshe1</f>
        <v>43</v>
      </c>
      <c r="G8" s="3">
        <f>moshe1</f>
        <v>15</v>
      </c>
      <c r="H8" s="3">
        <f>moshe1</f>
        <v>43</v>
      </c>
      <c r="I8" s="3">
        <f>moshe1</f>
        <v>15</v>
      </c>
      <c r="J8" s="3">
        <f>moshe1</f>
        <v>43</v>
      </c>
      <c r="K8" s="3">
        <f>moshe1</f>
        <v>43</v>
      </c>
      <c r="L8" s="3">
        <f>moshe1</f>
        <v>43</v>
      </c>
      <c r="M8" s="3">
        <f>moshe1</f>
        <v>43</v>
      </c>
      <c r="N8" s="3">
        <f>moshe1</f>
        <v>43</v>
      </c>
      <c r="O8" s="3">
        <f>moshe1</f>
        <v>42</v>
      </c>
      <c r="P8" s="3">
        <f>moshe1</f>
        <v>43</v>
      </c>
      <c r="Q8" s="3">
        <f>moshe1</f>
        <v>43</v>
      </c>
      <c r="R8" s="3">
        <f>moshe1</f>
        <v>42</v>
      </c>
      <c r="S8" s="3">
        <f>moshe1</f>
        <v>43</v>
      </c>
      <c r="T8" s="5">
        <v>8</v>
      </c>
      <c r="U8" s="5">
        <f>MATCH(B8,'[1]סבב חתימות - שרשרת'!$B:$B,0)</f>
        <v>8</v>
      </c>
    </row>
    <row r="9" spans="1:21" ht="15">
      <c r="A9" s="12" t="s">
        <v>33</v>
      </c>
      <c r="B9" s="13" t="s">
        <v>43</v>
      </c>
      <c r="C9" s="2" t="s">
        <v>39</v>
      </c>
      <c r="D9" s="3">
        <f>moshe1</f>
        <v>43</v>
      </c>
      <c r="E9" s="3">
        <f>moshe1</f>
        <v>43</v>
      </c>
      <c r="F9" s="3">
        <f>moshe1</f>
        <v>43</v>
      </c>
      <c r="G9" s="3">
        <f>moshe1</f>
        <v>15</v>
      </c>
      <c r="H9" s="3">
        <f>moshe1</f>
        <v>43</v>
      </c>
      <c r="I9" s="3">
        <f>moshe1</f>
        <v>42</v>
      </c>
      <c r="J9" s="3">
        <f>moshe1</f>
        <v>43</v>
      </c>
      <c r="K9" s="3">
        <f>moshe1</f>
        <v>43</v>
      </c>
      <c r="L9" s="3">
        <f>moshe1</f>
        <v>43</v>
      </c>
      <c r="M9" s="3">
        <f>moshe1</f>
        <v>43</v>
      </c>
      <c r="N9" s="3">
        <f>moshe1</f>
        <v>43</v>
      </c>
      <c r="O9" s="3">
        <f>moshe1</f>
        <v>43</v>
      </c>
      <c r="P9" s="3">
        <f>moshe1</f>
        <v>43</v>
      </c>
      <c r="Q9" s="3">
        <f>moshe1</f>
        <v>43</v>
      </c>
      <c r="R9" s="3">
        <f>moshe1</f>
        <v>42</v>
      </c>
      <c r="S9" s="3">
        <f>moshe1</f>
        <v>43</v>
      </c>
      <c r="T9" s="5">
        <v>9</v>
      </c>
      <c r="U9" s="5">
        <f>MATCH(B9,'[1]סבב חתימות - שרשרת'!$B:$B,0)</f>
        <v>9</v>
      </c>
    </row>
    <row r="10" spans="1:21" ht="15">
      <c r="A10" s="12" t="s">
        <v>33</v>
      </c>
      <c r="B10" s="13" t="s">
        <v>44</v>
      </c>
      <c r="C10" s="2" t="s">
        <v>35</v>
      </c>
      <c r="D10" s="3">
        <f>moshe1</f>
        <v>43</v>
      </c>
      <c r="E10" s="3">
        <f>moshe1</f>
        <v>43</v>
      </c>
      <c r="F10" s="3">
        <f>moshe1</f>
        <v>43</v>
      </c>
      <c r="G10" s="3">
        <f>moshe1</f>
        <v>43</v>
      </c>
      <c r="H10" s="3">
        <f>moshe1</f>
        <v>43</v>
      </c>
      <c r="I10" s="3">
        <f>moshe1</f>
        <v>42</v>
      </c>
      <c r="J10" s="3">
        <f>moshe1</f>
        <v>43</v>
      </c>
      <c r="K10" s="3">
        <f>moshe1</f>
        <v>42</v>
      </c>
      <c r="L10" s="3">
        <f>moshe1</f>
        <v>42</v>
      </c>
      <c r="M10" s="3">
        <f>moshe1</f>
        <v>43</v>
      </c>
      <c r="N10" s="3">
        <f>moshe1</f>
        <v>42</v>
      </c>
      <c r="O10" s="3">
        <f>moshe1</f>
        <v>42</v>
      </c>
      <c r="P10" s="3">
        <f>moshe1</f>
        <v>43</v>
      </c>
      <c r="Q10" s="3">
        <f>moshe1</f>
        <v>43</v>
      </c>
      <c r="R10" s="3">
        <f>moshe1</f>
        <v>42</v>
      </c>
      <c r="S10" s="3">
        <f>moshe1</f>
        <v>44</v>
      </c>
      <c r="T10" s="5">
        <v>10</v>
      </c>
      <c r="U10" s="5">
        <f>MATCH(B10,'[1]סבב חתימות - שרשרת'!$B:$B,0)</f>
        <v>10</v>
      </c>
    </row>
    <row r="11" spans="1:21" ht="15">
      <c r="A11" s="12" t="s">
        <v>33</v>
      </c>
      <c r="B11" s="13" t="s">
        <v>45</v>
      </c>
      <c r="C11" s="2" t="s">
        <v>35</v>
      </c>
      <c r="D11" s="3">
        <f>moshe1</f>
        <v>43</v>
      </c>
      <c r="E11" s="3">
        <f>moshe1</f>
        <v>43</v>
      </c>
      <c r="F11" s="3">
        <f>moshe1</f>
        <v>43</v>
      </c>
      <c r="G11" s="3">
        <f>moshe1</f>
        <v>15</v>
      </c>
      <c r="H11" s="3">
        <f>moshe1</f>
        <v>43</v>
      </c>
      <c r="I11" s="3">
        <f>moshe1</f>
        <v>42</v>
      </c>
      <c r="J11" s="3">
        <f>moshe1</f>
        <v>43</v>
      </c>
      <c r="K11" s="3">
        <f>moshe1</f>
        <v>43</v>
      </c>
      <c r="L11" s="3">
        <f>moshe1</f>
        <v>43</v>
      </c>
      <c r="M11" s="3">
        <f>moshe1</f>
        <v>43</v>
      </c>
      <c r="N11" s="3">
        <f>moshe1</f>
        <v>42</v>
      </c>
      <c r="O11" s="3">
        <f>moshe1</f>
        <v>43</v>
      </c>
      <c r="P11" s="3">
        <f>moshe1</f>
        <v>42</v>
      </c>
      <c r="Q11" s="3">
        <f>moshe1</f>
        <v>43</v>
      </c>
      <c r="R11" s="3">
        <f>moshe1</f>
        <v>42</v>
      </c>
      <c r="S11" s="3">
        <f>moshe1</f>
        <v>43</v>
      </c>
      <c r="T11" s="5">
        <v>11</v>
      </c>
      <c r="U11" s="5">
        <f>MATCH(B11,'[1]סבב חתימות - שרשרת'!$B:$B,0)</f>
        <v>11</v>
      </c>
    </row>
    <row r="12" spans="1:21" ht="15">
      <c r="A12" s="13" t="s">
        <v>58</v>
      </c>
      <c r="B12" s="13" t="s">
        <v>59</v>
      </c>
      <c r="C12" s="26" t="s">
        <v>60</v>
      </c>
      <c r="D12" s="3">
        <f>moshe1</f>
        <v>0</v>
      </c>
      <c r="E12" s="3">
        <f>moshe1</f>
        <v>0</v>
      </c>
      <c r="F12" s="3">
        <f>moshe1</f>
        <v>0</v>
      </c>
      <c r="G12" s="3">
        <f>moshe1</f>
        <v>0</v>
      </c>
      <c r="H12" s="3">
        <f>moshe1</f>
        <v>0</v>
      </c>
      <c r="I12" s="3">
        <f>moshe1</f>
        <v>0</v>
      </c>
      <c r="J12" s="3">
        <f>moshe1</f>
        <v>0</v>
      </c>
      <c r="K12" s="3">
        <f>moshe1</f>
        <v>0</v>
      </c>
      <c r="L12" s="3">
        <f>moshe1</f>
        <v>0</v>
      </c>
      <c r="M12" s="3">
        <f>moshe1</f>
        <v>0</v>
      </c>
      <c r="N12" s="3">
        <f>moshe1</f>
        <v>0</v>
      </c>
      <c r="O12" s="3">
        <f>moshe1</f>
        <v>0</v>
      </c>
      <c r="P12" s="3">
        <f>moshe1</f>
        <v>0</v>
      </c>
      <c r="Q12" s="3">
        <f>moshe1</f>
        <v>0</v>
      </c>
      <c r="R12" s="3">
        <f>moshe1</f>
        <v>0</v>
      </c>
      <c r="S12" s="3">
        <f>moshe1</f>
        <v>0</v>
      </c>
      <c r="T12" s="5">
        <v>12</v>
      </c>
      <c r="U12" s="5" t="e">
        <f>MATCH(B12,'[1]סבב חתימות - שרשרת'!$B:$B,0)</f>
        <v>#N/A</v>
      </c>
    </row>
    <row r="13" spans="1:21" ht="15">
      <c r="A13" s="13" t="s">
        <v>58</v>
      </c>
      <c r="B13" s="13" t="s">
        <v>61</v>
      </c>
      <c r="C13" s="26" t="s">
        <v>60</v>
      </c>
      <c r="D13" s="3">
        <f>moshe1</f>
        <v>15</v>
      </c>
      <c r="E13" s="3">
        <f>moshe1</f>
        <v>15</v>
      </c>
      <c r="F13" s="3">
        <f>moshe1</f>
        <v>15</v>
      </c>
      <c r="G13" s="3">
        <f>moshe1</f>
        <v>15</v>
      </c>
      <c r="H13" s="3">
        <f>moshe1</f>
        <v>15</v>
      </c>
      <c r="I13" s="3">
        <f>moshe1</f>
        <v>15</v>
      </c>
      <c r="J13" s="3">
        <f>moshe1</f>
        <v>15</v>
      </c>
      <c r="K13" s="3">
        <f>moshe1</f>
        <v>15</v>
      </c>
      <c r="L13" s="3">
        <f>moshe1</f>
        <v>15</v>
      </c>
      <c r="M13" s="3">
        <f>moshe1</f>
        <v>15</v>
      </c>
      <c r="N13" s="3">
        <f>moshe1</f>
        <v>15</v>
      </c>
      <c r="O13" s="3">
        <f>moshe1</f>
        <v>15</v>
      </c>
      <c r="P13" s="3">
        <f>moshe1</f>
        <v>15</v>
      </c>
      <c r="Q13" s="3">
        <f>moshe1</f>
        <v>15</v>
      </c>
      <c r="R13" s="3">
        <f>moshe1</f>
        <v>15</v>
      </c>
      <c r="S13" s="3">
        <f>moshe1</f>
        <v>15</v>
      </c>
      <c r="T13" s="5">
        <v>13</v>
      </c>
      <c r="U13" s="5" t="e">
        <f>MATCH(B13,'[1]סבב חתימות - שרשרת'!$B:$B,0)</f>
        <v>#N/A</v>
      </c>
    </row>
    <row r="14" spans="5:15" ht="15">
      <c r="E14"/>
      <c r="F14"/>
      <c r="G14"/>
      <c r="H14"/>
      <c r="I14"/>
      <c r="J14"/>
      <c r="K14"/>
      <c r="L14"/>
      <c r="M14"/>
      <c r="N14"/>
      <c r="O14"/>
    </row>
    <row r="15" spans="5:15" ht="15">
      <c r="E15"/>
      <c r="F15"/>
      <c r="G15"/>
      <c r="H15"/>
      <c r="I15"/>
      <c r="J15"/>
      <c r="K15"/>
      <c r="L15"/>
      <c r="M15"/>
      <c r="N15"/>
      <c r="O15"/>
    </row>
    <row r="16" spans="5:15" ht="15">
      <c r="E16"/>
      <c r="F16"/>
      <c r="G16"/>
      <c r="H16"/>
      <c r="I16"/>
      <c r="J16"/>
      <c r="K16"/>
      <c r="L16"/>
      <c r="M16"/>
      <c r="N16"/>
      <c r="O16"/>
    </row>
    <row r="17" spans="5:15" ht="15">
      <c r="E17"/>
      <c r="F17"/>
      <c r="G17"/>
      <c r="H17"/>
      <c r="I17"/>
      <c r="J17"/>
      <c r="K17"/>
      <c r="L17"/>
      <c r="M17"/>
      <c r="N17"/>
      <c r="O17"/>
    </row>
    <row r="18" spans="5:15" ht="15">
      <c r="E18"/>
      <c r="F18"/>
      <c r="G18"/>
      <c r="H18"/>
      <c r="I18"/>
      <c r="J18"/>
      <c r="K18"/>
      <c r="L18"/>
      <c r="M18"/>
      <c r="N18"/>
      <c r="O18"/>
    </row>
    <row r="19" spans="5:15" ht="15">
      <c r="E19"/>
      <c r="F19"/>
      <c r="G19"/>
      <c r="H19"/>
      <c r="I19"/>
      <c r="J19"/>
      <c r="K19"/>
      <c r="L19"/>
      <c r="M19"/>
      <c r="N19"/>
      <c r="O19"/>
    </row>
    <row r="20" spans="5:15" ht="15">
      <c r="E20"/>
      <c r="F20"/>
      <c r="G20"/>
      <c r="H20"/>
      <c r="I20"/>
      <c r="J20"/>
      <c r="K20"/>
      <c r="L20"/>
      <c r="M20"/>
      <c r="N20"/>
      <c r="O20"/>
    </row>
    <row r="21" spans="5:15" ht="15">
      <c r="E21"/>
      <c r="F21"/>
      <c r="G21"/>
      <c r="H21"/>
      <c r="I21"/>
      <c r="J21"/>
      <c r="K21"/>
      <c r="L21"/>
      <c r="M21"/>
      <c r="N21"/>
      <c r="O21"/>
    </row>
  </sheetData>
  <autoFilter ref="A1:U21"/>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r="http://schemas.microsoft.com/office/spreadsheetml/2014/revision" xmlns:x14ac="http://schemas.microsoft.com/office/spreadsheetml/2009/9/ac" xmlns:xr2="http://schemas.microsoft.com/office/spreadsheetml/2015/revision2" xmlns:xr3="http://schemas.microsoft.com/office/spreadsheetml/2016/revision3" mc:Ignorable="x14ac xr xr2 xr3" xr:uid="{69A4D0C7-5896-44ED-93BD-F5B6B97E33F5}">
  <dimension ref="A1:T18"/>
  <sheetViews>
    <sheetView workbookViewId="0" topLeftCell="A1">
      <selection pane="topLeft" activeCell="E32" sqref="E32"/>
    </sheetView>
  </sheetViews>
  <sheetFormatPr defaultRowHeight="15"/>
  <cols>
    <col min="1" max="1" width="15" style="2" bestFit="1" customWidth="1"/>
    <col min="2" max="2" width="37.1428571428571" style="2" bestFit="1" customWidth="1"/>
    <col min="3" max="3" width="8" style="2" bestFit="1" customWidth="1"/>
    <col min="4" max="20" width="11.1428571428571" style="2" customWidth="1"/>
    <col min="21" max="16384" width="9.14285714285714" style="2"/>
  </cols>
  <sheetData>
    <row r="1" spans="1:20" ht="15">
      <c r="A1" s="2" t="s">
        <v>0</v>
      </c>
      <c r="B1" s="2" t="s">
        <v>1</v>
      </c>
      <c r="C1" s="2" t="s">
        <v>49</v>
      </c>
      <c r="D1" s="5" t="s">
        <v>20</v>
      </c>
      <c r="E1" s="5" t="s">
        <v>21</v>
      </c>
      <c r="F1" s="5" t="s">
        <v>28</v>
      </c>
      <c r="G1" s="5" t="s">
        <v>22</v>
      </c>
      <c r="H1" s="5" t="s">
        <v>23</v>
      </c>
      <c r="I1" s="5" t="s">
        <v>24</v>
      </c>
      <c r="J1" s="5" t="s">
        <v>25</v>
      </c>
      <c r="K1" s="5" t="s">
        <v>26</v>
      </c>
      <c r="L1" s="5" t="s">
        <v>27</v>
      </c>
      <c r="M1" s="5" t="s">
        <v>46</v>
      </c>
      <c r="N1" s="5" t="s">
        <v>51</v>
      </c>
      <c r="O1" s="5" t="s">
        <v>47</v>
      </c>
      <c r="P1" s="5" t="s">
        <v>48</v>
      </c>
      <c r="Q1" s="5" t="s">
        <v>29</v>
      </c>
      <c r="R1" s="5" t="s">
        <v>30</v>
      </c>
      <c r="S1" s="5" t="s">
        <v>31</v>
      </c>
      <c r="T1" s="5" t="s">
        <v>32</v>
      </c>
    </row>
    <row r="2" spans="1:20" ht="15">
      <c r="A2" s="27" t="s">
        <v>2</v>
      </c>
      <c r="B2" s="14" t="s">
        <v>3</v>
      </c>
      <c r="C2" s="8"/>
      <c r="D2" s="4">
        <f>'[1]סבב חתימות - מלאי'!D2</f>
        <v>0</v>
      </c>
      <c r="E2" s="4">
        <f>'[1]סבב חתימות - מלאי'!E2</f>
        <v>0</v>
      </c>
      <c r="F2" s="4">
        <f>'[1]סבב חתימות - מלאי'!F2</f>
        <v>0</v>
      </c>
      <c r="G2" s="4">
        <f>'[1]סבב חתימות - מלאי'!G2</f>
        <v>0</v>
      </c>
      <c r="H2" s="4" t="str">
        <f>'[1]סבב חתימות - מלאי'!H2</f>
        <v>22.9
הגיבה ב _31.10</v>
      </c>
      <c r="I2" s="4">
        <f>'[1]סבב חתימות - מלאי'!I2</f>
        <v>0</v>
      </c>
      <c r="J2" s="4" t="str">
        <f>'[1]סבב חתימות - מלאי'!J2</f>
        <v>8.11_</v>
      </c>
      <c r="K2" s="4" t="str">
        <f>'[1]סבב חתימות - מלאי'!K2</f>
        <v>8.11_</v>
      </c>
      <c r="L2" s="4">
        <f>'[1]סבב חתימות - מלאי'!L2</f>
        <v>0</v>
      </c>
      <c r="M2" s="4">
        <f>'[1]סבב חתימות - מלאי'!M2</f>
        <v>0</v>
      </c>
      <c r="N2" s="4">
        <f>'[1]סבב חתימות - מלאי'!N2</f>
        <v>0</v>
      </c>
      <c r="O2" s="4" t="str">
        <f>'[1]סבב חתימות - מלאי'!O2</f>
        <v>3.11 -חטלו"ג מול מפקדת מרה"ס</v>
      </c>
      <c r="P2" s="4">
        <f>'[1]סבב חתימות - מלאי'!P2</f>
        <v>0</v>
      </c>
      <c r="Q2" s="4" t="str">
        <f>'[1]סבב חתימות - מלאי'!Q2</f>
        <v>ממתינה לסיכום רשמי
תיקונים אצל יורם</v>
      </c>
      <c r="R2" s="4" t="str">
        <f>'[1]סבב חתימות - מלאי'!R2</f>
        <v>19.11
נשלחה התייחסות ב30.12</v>
      </c>
      <c r="S2" s="5">
        <v>2</v>
      </c>
      <c r="T2" s="5">
        <f>MATCH(B2,'[1]סבב חתימות - מלאי'!$B:$B,0)</f>
        <v>2</v>
      </c>
    </row>
    <row r="3" spans="1:20" ht="15">
      <c r="A3" s="27" t="s">
        <v>2</v>
      </c>
      <c r="B3" s="14" t="s">
        <v>4</v>
      </c>
      <c r="C3" s="8"/>
      <c r="D3" s="4">
        <f>'[1]סבב חתימות - מלאי'!D3</f>
        <v>0</v>
      </c>
      <c r="E3" s="4">
        <f>'[1]סבב חתימות - מלאי'!E3</f>
        <v>0</v>
      </c>
      <c r="F3" s="4">
        <f>'[1]סבב חתימות - מלאי'!F3</f>
        <v>0</v>
      </c>
      <c r="G3" s="4">
        <f>'[1]סבב חתימות - מלאי'!G3</f>
        <v>0</v>
      </c>
      <c r="H3" s="4" t="str">
        <f>'[1]סבב חתימות - מלאי'!H3</f>
        <v>22.9
הגיבה ב _31.10</v>
      </c>
      <c r="I3" s="4">
        <f>'[1]סבב חתימות - מלאי'!I3</f>
        <v>0</v>
      </c>
      <c r="J3" s="4" t="str">
        <f>'[1]סבב חתימות - מלאי'!J3</f>
        <v>8.11_</v>
      </c>
      <c r="K3" s="4" t="str">
        <f>'[1]סבב חתימות - מלאי'!K3</f>
        <v>BRF</v>
      </c>
      <c r="L3" s="4" t="str">
        <f>'[1]סבב חתימות - מלאי'!L3</f>
        <v xml:space="preserve">TMS
חצרים-TMS </v>
      </c>
      <c r="M3" s="4">
        <f>'[1]סבב חתימות - מלאי'!M3</f>
        <v>0</v>
      </c>
      <c r="N3" s="4">
        <f>'[1]סבב חתימות - מלאי'!N3</f>
        <v>18.100000000000001</v>
      </c>
      <c r="O3" s="4" t="str">
        <f>'[1]סבב חתימות - מלאי'!O3</f>
        <v>3.11 -חטלו"ג מול מפקדת מרה"ס</v>
      </c>
      <c r="P3" s="4">
        <f>'[1]סבב חתימות - מלאי'!P3</f>
        <v>0</v>
      </c>
      <c r="Q3" s="4" t="str">
        <f>'[1]סבב חתימות - מלאי'!Q3</f>
        <v>ממתינה לסיכום רשמי
תיקונים אצל יורם</v>
      </c>
      <c r="R3" s="4" t="str">
        <f>'[1]סבב חתימות - מלאי'!R3</f>
        <v>19.11
נשלחה התייחסות ב30.13</v>
      </c>
      <c r="S3" s="5">
        <v>3</v>
      </c>
      <c r="T3" s="5">
        <f>MATCH(B3,'[1]סבב חתימות - מלאי'!$B:$B,0)</f>
        <v>3</v>
      </c>
    </row>
    <row r="4" spans="1:20" ht="15">
      <c r="A4" s="27" t="s">
        <v>2</v>
      </c>
      <c r="B4" s="14" t="s">
        <v>5</v>
      </c>
      <c r="C4" s="8"/>
      <c r="D4" s="4">
        <f>'[1]סבב חתימות - מלאי'!D4</f>
        <v>0</v>
      </c>
      <c r="E4" s="4">
        <f>'[1]סבב חתימות - מלאי'!E4</f>
        <v>0</v>
      </c>
      <c r="F4" s="4">
        <f>'[1]סבב חתימות - מלאי'!F4</f>
        <v>0</v>
      </c>
      <c r="G4" s="4">
        <f>'[1]סבב חתימות - מלאי'!G4</f>
        <v>0</v>
      </c>
      <c r="H4" s="4">
        <f>'[1]סבב חתימות - מלאי'!H4</f>
        <v>0</v>
      </c>
      <c r="I4" s="4">
        <f>'[1]סבב חתימות - מלאי'!I4</f>
        <v>0</v>
      </c>
      <c r="J4" s="4">
        <f>'[1]סבב חתימות - מלאי'!J4</f>
        <v>0</v>
      </c>
      <c r="K4" s="4">
        <f>'[1]סבב חתימות - מלאי'!K4</f>
        <v>0</v>
      </c>
      <c r="L4" s="4">
        <f>'[1]סבב חתימות - מלאי'!L4</f>
        <v>0</v>
      </c>
      <c r="M4" s="4">
        <f>'[1]סבב חתימות - מלאי'!M4</f>
        <v>0</v>
      </c>
      <c r="N4" s="4">
        <f>'[1]סבב חתימות - מלאי'!N4</f>
        <v>0</v>
      </c>
      <c r="O4" s="4">
        <f>'[1]סבב חתימות - מלאי'!O4</f>
        <v>0</v>
      </c>
      <c r="P4" s="4">
        <f>'[1]סבב חתימות - מלאי'!P4</f>
        <v>0</v>
      </c>
      <c r="Q4" s="4">
        <f>'[1]סבב חתימות - מלאי'!Q4</f>
        <v>26.100000000000001</v>
      </c>
      <c r="R4" s="4" t="str">
        <f>'[1]סבב חתימות - מלאי'!R4</f>
        <v>26.1
מאושר</v>
      </c>
      <c r="S4" s="5">
        <v>4</v>
      </c>
      <c r="T4" s="5">
        <f>MATCH(B4,'[1]סבב חתימות - מלאי'!$B:$B,0)</f>
        <v>4</v>
      </c>
    </row>
    <row r="5" spans="1:20" ht="15">
      <c r="A5" s="27" t="s">
        <v>2</v>
      </c>
      <c r="B5" s="14" t="s">
        <v>6</v>
      </c>
      <c r="C5" s="8"/>
      <c r="D5" s="4">
        <f>'[1]סבב חתימות - מלאי'!D5</f>
        <v>0</v>
      </c>
      <c r="E5" s="4">
        <f>'[1]סבב חתימות - מלאי'!E5</f>
        <v>0</v>
      </c>
      <c r="F5" s="4">
        <f>'[1]סבב חתימות - מלאי'!F5</f>
        <v>0</v>
      </c>
      <c r="G5" s="4">
        <f>'[1]סבב חתימות - מלאי'!G5</f>
        <v>0</v>
      </c>
      <c r="H5" s="4" t="str">
        <f>'[1]סבב חתימות - מלאי'!H5</f>
        <v>נשלח ב1.9
מאור מעדכן יום ראשון _25.10
ההערות תוקנו בקובץ, גלית לא עונה כדי לאשר - תנועה שמנים 672 , ניפוק שמנים למעבדה (לא אישרה), בחינות מטמון</v>
      </c>
      <c r="I5" s="4">
        <f>'[1]סבב חתימות - מלאי'!I5</f>
        <v>0</v>
      </c>
      <c r="J5" s="4" t="str">
        <f>'[1]סבב חתימות - מלאי'!J5</f>
        <v>ממתין לדוח   _5.11</v>
      </c>
      <c r="K5" s="4">
        <f>'[1]סבב חתימות - מלאי'!K5</f>
        <v>0</v>
      </c>
      <c r="L5" s="4" t="str">
        <f>'[1]סבב חתימות - מלאי'!L5</f>
        <v>יש הרבה משימות פתוחות</v>
      </c>
      <c r="M5" s="4">
        <f>'[1]סבב חתימות - מלאי'!M5</f>
        <v>0</v>
      </c>
      <c r="N5" s="4" t="str">
        <f>'[1]סבב חתימות - מלאי'!N5</f>
        <v>הועבר אליהם ב 15.10
העבירו התייחסות ב22.10
הערות תוקנו בקובץ, ממתין לאישור
אושר ב29.10</v>
      </c>
      <c r="O5" s="4" t="str">
        <f>'[1]סבב חתימות - מלאי'!O5</f>
        <v>נשלח ב22.9
הגיבו בתאריך 22.10
ההערות תוקנו בקובץ, ממתין לאישור של נדין
לא מאשרים בגלל מצב קיים, קבעו דיון ל3.11
3.11 - חטלוג מול מפקדת יבחנו אם יש פערים שלא מקבלים מענה במצב קיים ויעבירו אלינו. על אז אין לנו איך להתקדם
ישבנו איתם שוב, טרם עברו על פירוט סוגי וסיבות התנועה. הוחלט להפיץ כאשר הם לא מאשרים עד לתיקוף שלהם.</v>
      </c>
      <c r="P5" s="4">
        <f>'[1]סבב חתימות - מלאי'!P5</f>
        <v>0</v>
      </c>
      <c r="Q5" s="4" t="str">
        <f>'[1]סבב חתימות - מלאי'!Q5</f>
        <v>22.11
התקיים דיון ב28.12 - אושר עקרונית</v>
      </c>
      <c r="R5" s="4" t="str">
        <f>'[1]סבב חתימות - מלאי'!R5</f>
        <v>22.11
נותרו בע"ת שטרם אישרו 
אם ההסתייגות מול חטלו"ג היא הרשאות בלבד - אזי מאושר
אם ההסתייגות היא פער בתהליך - לעלות לרמ"ח בחזרה</v>
      </c>
      <c r="S5" s="5">
        <v>5</v>
      </c>
      <c r="T5" s="5">
        <f>MATCH(B5,'[1]סבב חתימות - מלאי'!$B:$B,0)</f>
        <v>5</v>
      </c>
    </row>
    <row r="6" spans="1:20" ht="15">
      <c r="A6" s="27" t="s">
        <v>2</v>
      </c>
      <c r="B6" s="14" t="s">
        <v>7</v>
      </c>
      <c r="C6" s="8"/>
      <c r="D6" s="4">
        <f>'[1]סבב חתימות - מלאי'!D6</f>
        <v>0</v>
      </c>
      <c r="E6" s="4">
        <f>'[1]סבב חתימות - מלאי'!E6</f>
        <v>0</v>
      </c>
      <c r="F6" s="4">
        <f>'[1]סבב חתימות - מלאי'!F6</f>
        <v>0</v>
      </c>
      <c r="G6" s="4">
        <f>'[1]סבב חתימות - מלאי'!G6</f>
        <v>0</v>
      </c>
      <c r="H6" s="4">
        <f>'[1]סבב חתימות - מלאי'!H6</f>
        <v>0</v>
      </c>
      <c r="I6" s="4">
        <f>'[1]סבב חתימות - מלאי'!I6</f>
        <v>0</v>
      </c>
      <c r="J6" s="4">
        <f>'[1]סבב חתימות - מלאי'!J6</f>
        <v>0</v>
      </c>
      <c r="K6" s="4" t="str">
        <f>'[1]סבב חתימות - מלאי'!K6</f>
        <v>22.9 הופץ
גלית התייחסה לתקוה וחטלו"ג
נשלח _19.11</v>
      </c>
      <c r="L6" s="4" t="str">
        <f>'[1]סבב חתימות - מלאי'!L6</f>
        <v>22.9 הופץ
האם סופי ב0010
וא"א חדש רישומי?
נשלח _19.11</v>
      </c>
      <c r="M6" s="4">
        <f>'[1]סבב חתימות - מלאי'!M6</f>
        <v>0</v>
      </c>
      <c r="N6" s="4" t="str">
        <f>'[1]סבב חתימות - מלאי'!N6</f>
        <v>הופץ ב22.9
פ"ע מול איהאב 25.10
נשלח _19.11</v>
      </c>
      <c r="O6" s="4" t="str">
        <f>'[1]סבב חתימות - מלאי'!O6</f>
        <v>הופץ ב22.9
הגיבו בתאריך 22.10
נשלח _19.11</v>
      </c>
      <c r="P6" s="4">
        <f>'[1]סבב חתימות - מלאי'!P6</f>
        <v>0</v>
      </c>
      <c r="Q6" s="4" t="str">
        <f>'[1]סבב חתימות - מלאי'!Q6</f>
        <v>3.12
ניר ביקש העמקה על זה ועל קבלה מרכש אמרלים</v>
      </c>
      <c r="R6" s="4" t="str">
        <f>'[1]סבב חתימות - מלאי'!R6</f>
        <v>3.12_
מאושר בכפוף לאישורים נוספים ***
הועבר לשגיב כולל כלל האישורים 22.12
מאושר סופית</v>
      </c>
      <c r="S6" s="5">
        <v>6</v>
      </c>
      <c r="T6" s="5">
        <f>MATCH(B6,'[1]סבב חתימות - מלאי'!$B:$B,0)</f>
        <v>6</v>
      </c>
    </row>
    <row r="7" spans="1:20" ht="15">
      <c r="A7" s="27" t="s">
        <v>2</v>
      </c>
      <c r="B7" s="14" t="s">
        <v>8</v>
      </c>
      <c r="C7" s="8"/>
      <c r="D7" s="4">
        <f>'[1]סבב חתימות - מלאי'!D7</f>
        <v>0</v>
      </c>
      <c r="E7" s="4" t="str">
        <f>'[1]סבב חתימות - מלאי'!E7</f>
        <v xml:space="preserve">רשום בקבוצה עם המנהלת </v>
      </c>
      <c r="F7" s="4">
        <f>'[1]סבב חתימות - מלאי'!F7</f>
        <v>0</v>
      </c>
      <c r="G7" s="4">
        <f>'[1]סבב חתימות - מלאי'!G7</f>
        <v>0</v>
      </c>
      <c r="H7" s="4" t="str">
        <f>'[1]סבב חתימות - מלאי'!H7</f>
        <v>העבירה התייחסות ב17.10</v>
      </c>
      <c r="I7" s="4">
        <f>'[1]סבב חתימות - מלאי'!I7</f>
        <v>0</v>
      </c>
      <c r="J7" s="4" t="str">
        <f>'[1]סבב חתימות - מלאי'!J7</f>
        <v>תיקון חסימות</v>
      </c>
      <c r="K7" s="4" t="str">
        <f>'[1]סבב חתימות - מלאי'!K7</f>
        <v>תיקון חסימות</v>
      </c>
      <c r="L7" s="4" t="str">
        <f>'[1]סבב חתימות - מלאי'!L7</f>
        <v>רמות מלאי חירום וקו אדום
מצ"מ - 306 א
נושא פתוח</v>
      </c>
      <c r="M7" s="4">
        <f>'[1]סבב חתימות - מלאי'!M7</f>
        <v>0</v>
      </c>
      <c r="N7" s="4" t="str">
        <f>'[1]סבב חתימות - מלאי'!N7</f>
        <v>רשימת מחסנים מיוחדים</v>
      </c>
      <c r="O7" s="4" t="str">
        <f>'[1]סבב חתימות - מלאי'!O7</f>
        <v>הגיבו בתאריך 22.10
ממתין לאישור של נדין</v>
      </c>
      <c r="P7" s="4" t="str">
        <f>'[1]סבב חתימות - מלאי'!P7</f>
        <v>מבקש לראות מעודכן אחרי עדכון תרשים</v>
      </c>
      <c r="Q7" s="4" t="str">
        <f>'[1]סבב חתימות - מלאי'!Q7</f>
        <v>אושר עקרונית ממתינה לסיכום רשמי</v>
      </c>
      <c r="R7" s="4" t="str">
        <f>'[1]סבב חתימות - מלאי'!R7</f>
        <v>8.11
נשלחה התייחסות נוספת _23.12
מאושר סופית</v>
      </c>
      <c r="S7" s="5">
        <v>7</v>
      </c>
      <c r="T7" s="5">
        <f>MATCH(B7,'[1]סבב חתימות - מלאי'!$B:$B,0)</f>
        <v>7</v>
      </c>
    </row>
    <row r="8" spans="1:20" ht="15">
      <c r="A8" s="27" t="s">
        <v>2</v>
      </c>
      <c r="B8" s="14" t="s">
        <v>9</v>
      </c>
      <c r="C8" s="8"/>
      <c r="D8" s="4">
        <f>'[1]סבב חתימות - מלאי'!D8</f>
        <v>0</v>
      </c>
      <c r="E8" s="4">
        <f>'[1]סבב חתימות - מלאי'!E8</f>
        <v>0</v>
      </c>
      <c r="F8" s="4">
        <f>'[1]סבב חתימות - מלאי'!F8</f>
        <v>27.120000000000001</v>
      </c>
      <c r="G8" s="4">
        <f>'[1]סבב חתימות - מלאי'!G8</f>
        <v>27.120000000000001</v>
      </c>
      <c r="H8" s="4">
        <f>'[1]סבב חתימות - מלאי'!H8</f>
        <v>27.120000000000001</v>
      </c>
      <c r="I8" s="4">
        <f>'[1]סבב חתימות - מלאי'!I8</f>
        <v>27.120000000000001</v>
      </c>
      <c r="J8" s="4">
        <f>'[1]סבב חתימות - מלאי'!J8</f>
        <v>27.120000000000001</v>
      </c>
      <c r="K8" s="4">
        <f>'[1]סבב חתימות - מלאי'!K8</f>
        <v>27.120000000000001</v>
      </c>
      <c r="L8" s="4">
        <f>'[1]סבב חתימות - מלאי'!L8</f>
        <v>27.120000000000001</v>
      </c>
      <c r="M8" s="4">
        <f>'[1]סבב חתימות - מלאי'!M8</f>
        <v>27.120000000000001</v>
      </c>
      <c r="N8" s="4">
        <f>'[1]סבב חתימות - מלאי'!N8</f>
        <v>27.120000000000001</v>
      </c>
      <c r="O8" s="4">
        <f>'[1]סבב חתימות - מלאי'!O8</f>
        <v>27.120000000000001</v>
      </c>
      <c r="P8" s="4">
        <f>'[1]סבב חתימות - מלאי'!P8</f>
        <v>27.120000000000001</v>
      </c>
      <c r="Q8" s="4">
        <f>'[1]סבב חתימות - מלאי'!Q8</f>
        <v>0</v>
      </c>
      <c r="R8" s="4" t="str">
        <f>'[1]סבב חתימות - מלאי'!R8</f>
        <v xml:space="preserve">נדרש להעביר לאישור לכלל בע"ת בדגש על דודי רם
נדרש לבחון פתרון חכם לחוקה שאינו "קוד"
דיון ייעודי בראשות הרמ"ח
</v>
      </c>
      <c r="S8" s="5">
        <v>8</v>
      </c>
      <c r="T8" s="5">
        <f>MATCH(B8,'[1]סבב חתימות - מלאי'!$B:$B,0)</f>
        <v>8</v>
      </c>
    </row>
    <row r="9" spans="1:20" ht="15">
      <c r="A9" s="27" t="s">
        <v>2</v>
      </c>
      <c r="B9" s="14" t="s">
        <v>10</v>
      </c>
      <c r="C9" s="8"/>
      <c r="D9" s="4">
        <f>'[1]סבב חתימות - מלאי'!D9</f>
        <v>0</v>
      </c>
      <c r="E9" s="4">
        <f>'[1]סבב חתימות - מלאי'!E9</f>
        <v>0</v>
      </c>
      <c r="F9" s="4">
        <f>'[1]סבב חתימות - מלאי'!F9</f>
        <v>25.109999999999999</v>
      </c>
      <c r="G9" s="4">
        <f>'[1]סבב חתימות - מלאי'!G9</f>
        <v>25.109999999999999</v>
      </c>
      <c r="H9" s="4" t="str">
        <f>'[1]סבב חתימות - מלאי'!H9</f>
        <v>25.11
לוגיקות מימוש</v>
      </c>
      <c r="I9" s="4">
        <f>'[1]סבב חתימות - מלאי'!I9</f>
        <v>25.109999999999999</v>
      </c>
      <c r="J9" s="4">
        <f>'[1]סבב חתימות - מלאי'!J9</f>
        <v>25.109999999999999</v>
      </c>
      <c r="K9" s="4">
        <f>'[1]סבב חתימות - מלאי'!K9</f>
        <v>25.109999999999999</v>
      </c>
      <c r="L9" s="4" t="str">
        <f>'[1]סבב חתימות - מלאי'!L9</f>
        <v>25.11
הזמנות דלק</v>
      </c>
      <c r="M9" s="4">
        <f>'[1]סבב חתימות - מלאי'!M9</f>
        <v>25.109999999999999</v>
      </c>
      <c r="N9" s="4">
        <f>'[1]סבב חתימות - מלאי'!N9</f>
        <v>25.109999999999999</v>
      </c>
      <c r="O9" s="4">
        <f>'[1]סבב חתימות - מלאי'!O9</f>
        <v>25.109999999999999</v>
      </c>
      <c r="P9" s="4" t="str">
        <f>'[1]סבב חתימות - מלאי'!P9</f>
        <v>25.11
אישר עקרונית</v>
      </c>
      <c r="Q9" s="4" t="str">
        <f>'[1]סבב חתימות - מלאי'!Q9</f>
        <v>אושר עקרונית ממתינה לסיכום רשמי</v>
      </c>
      <c r="R9" s="4" t="str">
        <f>'[1]סבב חתימות - מלאי'!R9</f>
        <v>24.12
חזר עם הערות 29.12
תכנון - נדרש לפתח תכנון שיאפשר תכנון לפי מק"ט או יחידה וכמה זמן מראש, בשלב מתקדם יותר סרגל החלטה לתכנון הנע בין כמות הגעה ליחידה לכמות בזבוז מלאים</v>
      </c>
      <c r="S9" s="5">
        <v>9</v>
      </c>
      <c r="T9" s="5">
        <f>MATCH(B9,'[1]סבב חתימות - מלאי'!$B:$B,0)</f>
        <v>9</v>
      </c>
    </row>
    <row r="10" spans="1:20" ht="15">
      <c r="A10" s="27" t="s">
        <v>2</v>
      </c>
      <c r="B10" s="14" t="s">
        <v>11</v>
      </c>
      <c r="C10" s="8"/>
      <c r="D10" s="4">
        <f>'[1]סבב חתימות - מלאי'!D10</f>
        <v>0</v>
      </c>
      <c r="E10" s="4">
        <f>'[1]סבב חתימות - מלאי'!E10</f>
        <v>0</v>
      </c>
      <c r="F10" s="4" t="str">
        <f>'[1]סבב חתימות - מלאי'!F10</f>
        <v>המייל האזרחי</v>
      </c>
      <c r="G10" s="4">
        <f>'[1]סבב חתימות - מלאי'!G10</f>
        <v>0</v>
      </c>
      <c r="H10" s="4">
        <f>'[1]סבב חתימות - מלאי'!H10</f>
        <v>0</v>
      </c>
      <c r="I10" s="4">
        <f>'[1]סבב חתימות - מלאי'!I10</f>
        <v>0</v>
      </c>
      <c r="J10" s="4">
        <f>'[1]סבב חתימות - מלאי'!J10</f>
        <v>0</v>
      </c>
      <c r="K10" s="4">
        <f>'[1]סבב חתימות - מלאי'!K10</f>
        <v>0</v>
      </c>
      <c r="L10" s="4" t="str">
        <f>'[1]סבב חתימות - מלאי'!L10</f>
        <v>פעולות מול יחידות 1003
טופס אחר מול מרה"ס-פורמטים שונים</v>
      </c>
      <c r="M10" s="4">
        <f>'[1]סבב חתימות - מלאי'!M10</f>
        <v>0</v>
      </c>
      <c r="N10" s="4" t="str">
        <f>'[1]סבב חתימות - מלאי'!N10</f>
        <v>חזר אליהם לחתימה ב 30.9</v>
      </c>
      <c r="O10" s="4" t="str">
        <f>'[1]סבב חתימות - מלאי'!O10</f>
        <v>הגיבו בתאריך 22.10</v>
      </c>
      <c r="P10" s="4">
        <f>'[1]סבב חתימות - מלאי'!P10</f>
        <v>0</v>
      </c>
      <c r="Q10" s="4" t="str">
        <f>'[1]סבב חתימות - מלאי'!Q10</f>
        <v>8.11
ניר קורא עצמאית</v>
      </c>
      <c r="R10" s="4" t="str">
        <f>'[1]סבב חתימות - מלאי'!R10</f>
        <v>8.11
מאושר בכפוף להערות העברנו התייחסות נוספת לשגיב ב28.12
מאושר סופית</v>
      </c>
      <c r="S10" s="5">
        <v>10</v>
      </c>
      <c r="T10" s="5">
        <f>MATCH(B10,'[1]סבב חתימות - מלאי'!$B:$B,0)</f>
        <v>10</v>
      </c>
    </row>
    <row r="11" spans="1:20" ht="15">
      <c r="A11" s="27" t="s">
        <v>2</v>
      </c>
      <c r="B11" s="14" t="s">
        <v>12</v>
      </c>
      <c r="C11" s="8"/>
      <c r="D11" s="4">
        <f>'[1]סבב חתימות - מלאי'!D11</f>
        <v>0</v>
      </c>
      <c r="E11" s="4">
        <f>'[1]סבב חתימות - מלאי'!E11</f>
        <v>0</v>
      </c>
      <c r="F11" s="4" t="str">
        <f>'[1]סבב חתימות - מלאי'!F11</f>
        <v>תיקונים בתרשימים
הועבר 15.10</v>
      </c>
      <c r="G11" s="4" t="str">
        <f>'[1]סבב חתימות - מלאי'!G11</f>
        <v>הסתייגות - מרקט</v>
      </c>
      <c r="H11" s="4" t="str">
        <f>'[1]סבב חתימות - מלאי'!H11</f>
        <v>רכש חו"ל המרות</v>
      </c>
      <c r="I11" s="4">
        <f>'[1]סבב חתימות - מלאי'!I11</f>
        <v>0</v>
      </c>
      <c r="J11" s="4">
        <f>'[1]סבב חתימות - מלאי'!J11</f>
        <v>0</v>
      </c>
      <c r="K11" s="4">
        <f>'[1]סבב חתימות - מלאי'!K11</f>
        <v>0</v>
      </c>
      <c r="L11" s="4">
        <f>'[1]סבב חתימות - מלאי'!L11</f>
        <v>0</v>
      </c>
      <c r="M11" s="4">
        <f>'[1]סבב חתימות - מלאי'!M11</f>
        <v>0</v>
      </c>
      <c r="N11" s="4" t="str">
        <f>'[1]סבב חתימות - מלאי'!N11</f>
        <v>תיקונים בתרשימים
הועבר 15.10</v>
      </c>
      <c r="O11" s="4" t="str">
        <f>'[1]סבב חתימות - מלאי'!O11</f>
        <v>הופץ 13.9
הועברה התייחסות ב27.10
3.11 - חטלו"ג מול מפקדת מרה"ס
25.11 אושר
נדרש להעמיק ברכש בהטסה</v>
      </c>
      <c r="P11" s="4">
        <f>'[1]סבב חתימות - מלאי'!P11</f>
        <v>0</v>
      </c>
      <c r="Q11" s="4" t="str">
        <f>'[1]סבב חתימות - מלאי'!Q11</f>
        <v>25.11
ניר מבקש העמק על אמרלים</v>
      </c>
      <c r="R11" s="4" t="str">
        <f>'[1]סבב חתימות - מלאי'!R11</f>
        <v>25.11
חזר עם הערות 1.12 - קבלה ממרק"ט***</v>
      </c>
      <c r="S11" s="5">
        <v>11</v>
      </c>
      <c r="T11" s="5">
        <f>MATCH(B11,'[1]סבב חתימות - מלאי'!$B:$B,0)</f>
        <v>11</v>
      </c>
    </row>
    <row r="12" spans="1:20" ht="15">
      <c r="A12" s="27" t="s">
        <v>2</v>
      </c>
      <c r="B12" s="14" t="s">
        <v>13</v>
      </c>
      <c r="C12" s="8"/>
      <c r="D12" s="4">
        <f>'[1]סבב חתימות - מלאי'!D12</f>
        <v>0</v>
      </c>
      <c r="E12" s="4">
        <f>'[1]סבב חתימות - מלאי'!E12</f>
        <v>0</v>
      </c>
      <c r="F12" s="4">
        <f>'[1]סבב חתימות - מלאי'!F12</f>
        <v>0</v>
      </c>
      <c r="G12" s="4">
        <f>'[1]סבב חתימות - מלאי'!G12</f>
        <v>0</v>
      </c>
      <c r="H12" s="4">
        <f>'[1]סבב חתימות - מלאי'!H12</f>
        <v>0</v>
      </c>
      <c r="I12" s="4">
        <f>'[1]סבב חתימות - מלאי'!I12</f>
        <v>0</v>
      </c>
      <c r="J12" s="4">
        <f>'[1]סבב חתימות - מלאי'!J12</f>
        <v>0</v>
      </c>
      <c r="K12" s="4">
        <f>'[1]סבב חתימות - מלאי'!K12</f>
        <v>0</v>
      </c>
      <c r="L12" s="4">
        <f>'[1]סבב חתימות - מלאי'!L12</f>
        <v>0</v>
      </c>
      <c r="M12" s="4">
        <f>'[1]סבב חתימות - מלאי'!M12</f>
        <v>0</v>
      </c>
      <c r="N12" s="4" t="str">
        <f>'[1]סבב חתימות - מלאי'!N12</f>
        <v>תדירות ספריה לא תהיה בSAP שונה ממרכז</v>
      </c>
      <c r="O12" s="4" t="str">
        <f>'[1]סבב חתימות - מלאי'!O12</f>
        <v>אושר ע"י אלכס וניסים בתאריך 
נפתח לאחר אישור ב22.10
ממתין לאישור של נדין ב25.10
גלית משרקי אשרה 2.11</v>
      </c>
      <c r="P12" s="4">
        <f>'[1]סבב חתימות - מלאי'!P12</f>
        <v>0</v>
      </c>
      <c r="Q12" s="4" t="str">
        <f>'[1]סבב חתימות - מלאי'!Q12</f>
        <v>אושר עקרונית ממתינה לסיכום רשמי</v>
      </c>
      <c r="R12" s="4" t="str">
        <f>'[1]סבב חתימות - מלאי'!R12</f>
        <v>8.11
הועבר לשגיב להתייחסות נוספת 28.12</v>
      </c>
      <c r="S12" s="5">
        <v>12</v>
      </c>
      <c r="T12" s="5">
        <f>MATCH(B12,'[1]סבב חתימות - מלאי'!$B:$B,0)</f>
        <v>12</v>
      </c>
    </row>
    <row r="13" spans="1:20" ht="15">
      <c r="A13" s="27" t="s">
        <v>2</v>
      </c>
      <c r="B13" s="14" t="s">
        <v>14</v>
      </c>
      <c r="C13" s="8"/>
      <c r="D13" s="4">
        <f>'[1]סבב חתימות - מלאי'!D13</f>
        <v>0</v>
      </c>
      <c r="E13" s="4">
        <f>'[1]סבב חתימות - מלאי'!E13</f>
        <v>0</v>
      </c>
      <c r="F13" s="4" t="str">
        <f>'[1]סבב חתימות - מלאי'!F13</f>
        <v>ביקשתי שיעבור שוב</v>
      </c>
      <c r="G13" s="4">
        <f>'[1]סבב חתימות - מלאי'!G13</f>
        <v>0</v>
      </c>
      <c r="H13" s="4">
        <f>'[1]סבב חתימות - מלאי'!H13</f>
        <v>0</v>
      </c>
      <c r="I13" s="4">
        <f>'[1]סבב חתימות - מלאי'!I13</f>
        <v>0</v>
      </c>
      <c r="J13" s="4" t="str">
        <f>'[1]סבב חתימות - מלאי'!J13</f>
        <v>מצ"מ-מתחם גריטות
נשלח ב19.10</v>
      </c>
      <c r="K13" s="4" t="str">
        <f>'[1]סבב חתימות - מלאי'!K13</f>
        <v>מצ"מ-מתחם גריטות
נשלח ב19.10</v>
      </c>
      <c r="L13" s="4" t="str">
        <f>'[1]סבב חתימות - מלאי'!L13</f>
        <v xml:space="preserve">מצ"מ-מתחם גריטות
נשלח ב19.10
לפי רחט"ל ביקש שמכירה יבוצע בכושר 8 בלבד </v>
      </c>
      <c r="M13" s="4">
        <f>'[1]סבב חתימות - מלאי'!M13</f>
        <v>0</v>
      </c>
      <c r="N13" s="4" t="str">
        <f>'[1]סבב חתימות - מלאי'!N13</f>
        <v>סוגיית ייחוד גריטה תהליך מזון - לאשר מול מפקדת מרה"ס</v>
      </c>
      <c r="O13" s="4" t="str">
        <f>'[1]סבב חתימות - מלאי'!O13</f>
        <v xml:space="preserve">הגיבו בתאריך 22.10
ממתין לאישור של נדין
סטאטוס נוסף של אישור חוזר
</v>
      </c>
      <c r="P13" s="4">
        <f>'[1]סבב חתימות - מלאי'!P13</f>
        <v>0</v>
      </c>
      <c r="Q13" s="4">
        <f>'[1]סבב חתימות - מלאי'!Q13</f>
        <v>8.1099999999999994</v>
      </c>
      <c r="R13" s="4" t="str">
        <f>'[1]סבב חתימות - מלאי'!R13</f>
        <v>8.11
מאושר סופית</v>
      </c>
      <c r="S13" s="5">
        <v>13</v>
      </c>
      <c r="T13" s="5">
        <f>MATCH(B13,'[1]סבב חתימות - מלאי'!$B:$B,0)</f>
        <v>13</v>
      </c>
    </row>
    <row r="14" spans="1:20" ht="15">
      <c r="A14" s="27" t="s">
        <v>2</v>
      </c>
      <c r="B14" s="14" t="s">
        <v>15</v>
      </c>
      <c r="C14" s="8"/>
      <c r="D14" s="4">
        <f>'[1]סבב חתימות - מלאי'!D14</f>
        <v>0</v>
      </c>
      <c r="E14" s="4">
        <f>'[1]סבב חתימות - מלאי'!E14</f>
        <v>0</v>
      </c>
      <c r="F14" s="4" t="str">
        <f>'[1]סבב חתימות - מלאי'!F14</f>
        <v>הופץ 14.10</v>
      </c>
      <c r="G14" s="4" t="str">
        <f>'[1]סבב חתימות - מלאי'!G14</f>
        <v>הופץ 14.10
הופץ שוב ב24.12</v>
      </c>
      <c r="H14" s="4" t="str">
        <f>'[1]סבב חתימות - מלאי'!H14</f>
        <v>הופץ 14.10
הגיבה ב _31.10
הגיבה ב1.12
הופץ שוב ב24.12</v>
      </c>
      <c r="I14" s="4" t="str">
        <f>'[1]סבב חתימות - מלאי'!I14</f>
        <v>הופץ 14.10</v>
      </c>
      <c r="J14" s="4" t="str">
        <f>'[1]סבב חתימות - מלאי'!J14</f>
        <v>הופץ 14.10
הופץ שוב ב24.12</v>
      </c>
      <c r="K14" s="4" t="str">
        <f>'[1]סבב חתימות - מלאי'!K14</f>
        <v>הופץ 14.10</v>
      </c>
      <c r="L14" s="4" t="str">
        <f>'[1]סבב חתימות - מלאי'!L14</f>
        <v>הופץ 14.10</v>
      </c>
      <c r="M14" s="4" t="str">
        <f>'[1]סבב חתימות - מלאי'!M14</f>
        <v>הופץ 14.10</v>
      </c>
      <c r="N14" s="4" t="str">
        <f>'[1]סבב חתימות - מלאי'!N14</f>
        <v>הופץ 14.10
אישור עקרוני - פער מול יכולת דחיפת מלאי לא"א צבאי בלבד</v>
      </c>
      <c r="O14" s="4" t="str">
        <f>'[1]סבב חתימות - מלאי'!O14</f>
        <v>הופץ 14.10</v>
      </c>
      <c r="P14" s="4" t="str">
        <f>'[1]סבב חתימות - מלאי'!P14</f>
        <v>הופץ 14.10</v>
      </c>
      <c r="Q14" s="4">
        <f>'[1]סבב חתימות - מלאי'!Q14</f>
        <v>31.120000000000001</v>
      </c>
      <c r="R14" s="4">
        <f>'[1]סבב חתימות - מלאי'!R14</f>
        <v>31.120000000000001</v>
      </c>
      <c r="S14" s="5">
        <v>14</v>
      </c>
      <c r="T14" s="5">
        <f>MATCH(B14,'[1]סבב חתימות - מלאי'!$B:$B,0)</f>
        <v>14</v>
      </c>
    </row>
    <row r="15" spans="1:20" ht="15">
      <c r="A15" s="27" t="s">
        <v>2</v>
      </c>
      <c r="B15" s="14" t="s">
        <v>16</v>
      </c>
      <c r="C15" s="8"/>
      <c r="D15" s="4">
        <f>'[1]סבב חתימות - מלאי'!D15</f>
        <v>0</v>
      </c>
      <c r="E15" s="4">
        <f>'[1]סבב חתימות - מלאי'!E15</f>
        <v>0</v>
      </c>
      <c r="F15" s="4">
        <f>'[1]סבב חתימות - מלאי'!F15</f>
        <v>0</v>
      </c>
      <c r="G15" s="4">
        <f>'[1]סבב חתימות - מלאי'!G15</f>
        <v>0</v>
      </c>
      <c r="H15" s="4">
        <f>'[1]סבב חתימות - מלאי'!H15</f>
        <v>0</v>
      </c>
      <c r="I15" s="4">
        <f>'[1]סבב חתימות - מלאי'!I15</f>
        <v>0</v>
      </c>
      <c r="J15" s="4">
        <f>'[1]סבב חתימות - מלאי'!J15</f>
        <v>0</v>
      </c>
      <c r="K15" s="4">
        <f>'[1]סבב חתימות - מלאי'!K15</f>
        <v>0</v>
      </c>
      <c r="L15" s="4">
        <f>'[1]סבב חתימות - מלאי'!L15</f>
        <v>0</v>
      </c>
      <c r="M15" s="4">
        <f>'[1]סבב חתימות - מלאי'!M15</f>
        <v>0</v>
      </c>
      <c r="N15" s="4">
        <f>'[1]סבב חתימות - מלאי'!N15</f>
        <v>0</v>
      </c>
      <c r="O15" s="4" t="str">
        <f>'[1]סבב חתימות - מלאי'!O15</f>
        <v>נדין ומורן אישרו ב22.10
ניסים?</v>
      </c>
      <c r="P15" s="4">
        <f>'[1]סבב חתימות - מלאי'!P15</f>
        <v>0</v>
      </c>
      <c r="Q15" s="4" t="str">
        <f>'[1]סבב חתימות - מלאי'!Q15</f>
        <v>אושר עקרונית ממתינה לסיכום רשמי</v>
      </c>
      <c r="R15" s="4" t="str">
        <f>'[1]סבב חתימות - מלאי'!R15</f>
        <v xml:space="preserve">8.11
***מאושר בכפוף לקבלת אישורים של יתר בע"ת _12.11
עמ"ט הכושרים מזון
</v>
      </c>
      <c r="S15" s="5">
        <v>15</v>
      </c>
      <c r="T15" s="5">
        <f>MATCH(B15,'[1]סבב חתימות - מלאי'!$B:$B,0)</f>
        <v>15</v>
      </c>
    </row>
    <row r="16" spans="1:20" ht="15">
      <c r="A16" s="27" t="s">
        <v>2</v>
      </c>
      <c r="B16" s="14" t="s">
        <v>17</v>
      </c>
      <c r="C16" s="9"/>
      <c r="D16" s="4">
        <f>'[1]סבב חתימות - מלאי'!D16</f>
        <v>0</v>
      </c>
      <c r="E16" s="4">
        <f>'[1]סבב חתימות - מלאי'!E16</f>
        <v>0</v>
      </c>
      <c r="F16" s="4" t="str">
        <f>'[1]סבב חתימות - מלאי'!F16</f>
        <v>אישר ב25.10</v>
      </c>
      <c r="G16" s="4" t="str">
        <f>'[1]סבב חתימות - מלאי'!G16</f>
        <v>התהליך החדש שמפתחים להם
אושר ב26.10</v>
      </c>
      <c r="H16" s="4" t="str">
        <f>'[1]סבב חתימות - מלאי'!H16</f>
        <v>הקובץ הועבר 22.9
מאור מעדכן יום ראשון 25.10
ההערות תוקנו בקובץ, גלית לא עונה כדי לאשר
3.11 קצין נמלים</v>
      </c>
      <c r="I16" s="4" t="str">
        <f>'[1]סבב חתימות - מלאי'!I16</f>
        <v>עדכון מצב קיים נשלח ב14.10
פ"ע מאור שרון ואלכס
נכנסו 2 משימות חדשות משרון סבב אישורים (גלית משרקי), קבלה לאחר הסבה בחברות חיצוניות 21.10
הערות תוקנו בקובץ ונשלחו למשתמשים לאישור 26.10
אושר ב28.10</v>
      </c>
      <c r="J16" s="4" t="str">
        <f>'[1]סבב חתימות - מלאי'!J16</f>
        <v>עדכון מצב קיים נשלח ב14.10
פ"ע מאור שרון ואלכס
נכנסו 2 משימות חדשות משרון סבב אישורים (גלית משרקי), קבלה לאחר הסבה בחברות חיצוניות 21.10
הערות תוקנו בקובץ ונשלחו למשתמשים לאישור 26.10</v>
      </c>
      <c r="K16" s="4" t="str">
        <f>'[1]סבב חתימות - מלאי'!K16</f>
        <v>עדכון מצב קיים נשלח ב14.10
פ"ע מאור שרון ואלכס
נכנסו 2 משימות חדשות משרון סבב אישורים (גלית משרקי), קבלה לאחר הסבה בחברות חיצוניות 21.10
הערות תוקנו בקובץ ונשלחו למשתמשים לאישור 26.10</v>
      </c>
      <c r="L16" s="4" t="str">
        <f>'[1]סבב חתימות - מלאי'!L16</f>
        <v>אושר ע"י גדי מליחי ב28.10</v>
      </c>
      <c r="M16" s="4" t="str">
        <f>'[1]סבב חתימות - מלאי'!M16</f>
        <v xml:space="preserve">ממתין להתייחסות </v>
      </c>
      <c r="N16" s="4" t="str">
        <f>'[1]סבב חתימות - מלאי'!N16</f>
        <v>ממתין מה15.10
התייחסו ב22.10
ממתינים להם שוב מה22.10
אושר ב29.10</v>
      </c>
      <c r="O16" s="4" t="str">
        <f>'[1]סבב חתימות - מלאי'!O16</f>
        <v>קובץ הועבר ב22.9
לא הועברה התייחסות עד
תוקנו הערות ונשלח קובץ עדכני ב28.10
אושר עקרונית 5.11 - אישור אחרון עד 8.11
להוסיף את מכירה</v>
      </c>
      <c r="P16" s="4">
        <f>'[1]סבב חתימות - מלאי'!P16</f>
        <v>0</v>
      </c>
      <c r="Q16" s="4" t="str">
        <f>'[1]סבב חתימות - מלאי'!Q16</f>
        <v>אושר עקרונית ממתינה לסיכום רשמי</v>
      </c>
      <c r="R16" s="4" t="str">
        <f>'[1]סבב חתימות - מלאי'!R16</f>
        <v>8.11
אישור עקרוני בכפוף לשאלות + בוצעה חתימה רע"ן הפעלה
מאושר סופית</v>
      </c>
      <c r="S16" s="5">
        <v>16</v>
      </c>
      <c r="T16" s="5">
        <f>MATCH(B16,'[1]סבב חתימות - מלאי'!$B:$B,0)</f>
        <v>16</v>
      </c>
    </row>
    <row r="17" spans="1:20" ht="15">
      <c r="A17" s="27" t="s">
        <v>2</v>
      </c>
      <c r="B17" s="14" t="s">
        <v>18</v>
      </c>
      <c r="C17" s="8"/>
      <c r="D17" s="4">
        <f>'[1]סבב חתימות - מלאי'!D17</f>
        <v>0</v>
      </c>
      <c r="E17" s="4">
        <f>'[1]סבב חתימות - מלאי'!E17</f>
        <v>0</v>
      </c>
      <c r="F17" s="4" t="str">
        <f>'[1]סבב חתימות - מלאי'!F17</f>
        <v>שינוי סדרה-  המלאי לא יהיה חסום בהחלטת אבי</v>
      </c>
      <c r="G17" s="4">
        <f>'[1]סבב חתימות - מלאי'!G17</f>
        <v>0</v>
      </c>
      <c r="H17" s="4" t="str">
        <f>'[1]סבב חתימות - מלאי'!H17</f>
        <v>שינוי סדרה-  המלאי לא יהיה חסום בהחלטת אבי
מבקשת העמקה בכל נושא הבחינות</v>
      </c>
      <c r="I17" s="4">
        <f>'[1]סבב חתימות - מלאי'!I17</f>
        <v>0</v>
      </c>
      <c r="J17" s="4" t="str">
        <f>'[1]סבב חתימות - מלאי'!J17</f>
        <v>פער מול צרפ</v>
      </c>
      <c r="K17" s="4">
        <f>'[1]סבב חתימות - מלאי'!K17</f>
        <v>0</v>
      </c>
      <c r="L17" s="4">
        <f>'[1]סבב חתימות - מלאי'!L17</f>
        <v>0</v>
      </c>
      <c r="M17" s="4">
        <f>'[1]סבב חתימות - מלאי'!M17</f>
        <v>0</v>
      </c>
      <c r="N17" s="4" t="str">
        <f>'[1]סבב חתימות - מלאי'!N17</f>
        <v>שלחו התייחסות ב22.10</v>
      </c>
      <c r="O17" s="4" t="str">
        <f>'[1]סבב חתימות - מלאי'!O17</f>
        <v>נדין ומורן אישרו ב22.10
ניסים?</v>
      </c>
      <c r="P17" s="4" t="str">
        <f>'[1]סבב חתימות - מלאי'!P17</f>
        <v xml:space="preserve">מהם ההשפעות סדרת יצרן </v>
      </c>
      <c r="Q17" s="4" t="str">
        <f>'[1]סבב חתימות - מלאי'!Q17</f>
        <v>8.11
מאושר יש להוסיף מענה לתחום הצר"פ</v>
      </c>
      <c r="R17" s="4" t="str">
        <f>'[1]סבב חתימות - מלאי'!R17</f>
        <v>8.11
מאושר עקרונית בכפוף לאישור מפקד המטלו"ג - אושר***
לא נדרש לשלוח התייחסות</v>
      </c>
      <c r="S17" s="5">
        <v>17</v>
      </c>
      <c r="T17" s="5">
        <f>MATCH(B17,'[1]סבב חתימות - מלאי'!$B:$B,0)</f>
        <v>17</v>
      </c>
    </row>
    <row r="18" spans="1:20" ht="15">
      <c r="A18" s="27" t="s">
        <v>2</v>
      </c>
      <c r="B18" s="14" t="s">
        <v>19</v>
      </c>
      <c r="C18" s="8"/>
      <c r="D18" s="4">
        <f>'[1]סבב חתימות - מלאי'!D18</f>
        <v>0</v>
      </c>
      <c r="E18" s="4">
        <f>'[1]סבב חתימות - מלאי'!E18</f>
        <v>0</v>
      </c>
      <c r="F18" s="4">
        <f>'[1]סבב חתימות - מלאי'!F18</f>
        <v>1.1200000000000001</v>
      </c>
      <c r="G18" s="4">
        <f>'[1]סבב חתימות - מלאי'!G18</f>
        <v>1.1200000000000001</v>
      </c>
      <c r="H18" s="4" t="str">
        <f>'[1]סבב חתימות - מלאי'!H18</f>
        <v>1.12
הוחזרה התייחסות ב5.12</v>
      </c>
      <c r="I18" s="4">
        <f>'[1]סבב חתימות - מלאי'!I18</f>
        <v>1.1200000000000001</v>
      </c>
      <c r="J18" s="4">
        <f>'[1]סבב חתימות - מלאי'!J18</f>
        <v>1.1200000000000001</v>
      </c>
      <c r="K18" s="4">
        <f>'[1]סבב חתימות - מלאי'!K18</f>
        <v>1.1200000000000001</v>
      </c>
      <c r="L18" s="4">
        <f>'[1]סבב חתימות - מלאי'!L18</f>
        <v>1.1200000000000001</v>
      </c>
      <c r="M18" s="4">
        <f>'[1]סבב חתימות - מלאי'!M18</f>
        <v>1.1200000000000001</v>
      </c>
      <c r="N18" s="4">
        <f>'[1]סבב חתימות - מלאי'!N18</f>
        <v>1.1200000000000001</v>
      </c>
      <c r="O18" s="4">
        <f>'[1]סבב חתימות - מלאי'!O18</f>
        <v>1.1200000000000001</v>
      </c>
      <c r="P18" s="4">
        <f>'[1]סבב חתימות - מלאי'!P18</f>
        <v>1.1200000000000001</v>
      </c>
      <c r="Q18" s="4" t="str">
        <f>'[1]סבב חתימות - מלאי'!Q18</f>
        <v>אושר עקרונית ממתינה לסיכום רשמי</v>
      </c>
      <c r="R18" s="4" t="str">
        <f>'[1]סבב חתימות - מלאי'!R18</f>
        <v>10.12
התייחס בתאריך 21.12
ממתין רק להתייחסות של בע"ת פנימיים במרה"ס</v>
      </c>
      <c r="S18" s="5">
        <v>18</v>
      </c>
      <c r="T18" s="5">
        <f>MATCH(B18,'[1]סבב חתימות - מלאי'!$B:$B,0)</f>
        <v>18</v>
      </c>
    </row>
  </sheetData>
  <pageMargins left="0.7" right="0.7" top="0.75" bottom="0.75" header="0.3" footer="0.3"/>
  <pageSetup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r="http://schemas.microsoft.com/office/spreadsheetml/2014/revision" xmlns:x14ac="http://schemas.microsoft.com/office/spreadsheetml/2009/9/ac" xmlns:xr2="http://schemas.microsoft.com/office/spreadsheetml/2015/revision2" xmlns:xr3="http://schemas.microsoft.com/office/spreadsheetml/2016/revision3" mc:Ignorable="x14ac xr xr2 xr3" xr:uid="{EA1BCB79-55B7-4775-B535-EF774D7D66AC}">
  <dimension ref="A1:U11"/>
  <sheetViews>
    <sheetView workbookViewId="0" topLeftCell="A1">
      <pane ySplit="1" topLeftCell="A2" activePane="bottomLeft" state="frozen"/>
      <selection pane="topLeft" activeCell="A1" sqref="A1"/>
      <selection pane="bottomLeft" activeCell="I3" sqref="I3"/>
    </sheetView>
  </sheetViews>
  <sheetFormatPr defaultRowHeight="15"/>
  <cols>
    <col min="1" max="1" width="16.5714285714286" style="1" bestFit="1" customWidth="1"/>
    <col min="2" max="2" width="24.1428571428571" style="1" bestFit="1" customWidth="1"/>
    <col min="3" max="21" width="16" style="1" customWidth="1"/>
    <col min="22" max="16384" width="9.14285714285714" style="1"/>
  </cols>
  <sheetData>
    <row r="1" spans="1:21" ht="15">
      <c r="A1" s="18" t="s">
        <v>0</v>
      </c>
      <c r="B1" s="18" t="s">
        <v>1</v>
      </c>
      <c r="C1" s="16" t="s">
        <v>49</v>
      </c>
      <c r="D1" s="16" t="s">
        <v>20</v>
      </c>
      <c r="E1" s="16" t="s">
        <v>21</v>
      </c>
      <c r="F1" s="16" t="s">
        <v>28</v>
      </c>
      <c r="G1" s="16" t="s">
        <v>22</v>
      </c>
      <c r="H1" s="16" t="s">
        <v>50</v>
      </c>
      <c r="I1" s="16" t="s">
        <v>23</v>
      </c>
      <c r="J1" s="16" t="s">
        <v>24</v>
      </c>
      <c r="K1" s="16" t="s">
        <v>25</v>
      </c>
      <c r="L1" s="16" t="s">
        <v>26</v>
      </c>
      <c r="M1" s="16" t="s">
        <v>27</v>
      </c>
      <c r="N1" s="16" t="s">
        <v>46</v>
      </c>
      <c r="O1" s="16" t="s">
        <v>51</v>
      </c>
      <c r="P1" s="16" t="s">
        <v>47</v>
      </c>
      <c r="Q1" s="16" t="s">
        <v>48</v>
      </c>
      <c r="R1" s="16" t="s">
        <v>29</v>
      </c>
      <c r="S1" s="16" t="s">
        <v>30</v>
      </c>
      <c r="T1" s="16" t="s">
        <v>31</v>
      </c>
      <c r="U1" s="16" t="s">
        <v>32</v>
      </c>
    </row>
    <row r="2" spans="1:21" ht="150">
      <c r="A2" s="19" t="s">
        <v>33</v>
      </c>
      <c r="B2" s="20" t="s">
        <v>34</v>
      </c>
      <c r="C2" s="17" t="s">
        <v>35</v>
      </c>
      <c r="D2" s="15">
        <f>'[1]סבב חתימות - שרשרת'!D2</f>
        <v>0</v>
      </c>
      <c r="E2" s="15">
        <f>'[1]סבב חתימות - שרשרת'!E2</f>
        <v>0</v>
      </c>
      <c r="F2" s="15" t="str">
        <f>'[1]סבב חתימות - שרשרת'!F2</f>
        <v>הופץ ב  3.11
החזיר התייחסות ב6.12 
הופץ שוב ב24.12</v>
      </c>
      <c r="G2" s="15" t="str">
        <f>'[1]סבב חתימות - שרשרת'!G2</f>
        <v>הופץ ב 3.11
החזיר התייחסות ב8.11
אושר ב9.11</v>
      </c>
      <c r="H2" s="15" t="str">
        <f>'[1]סבב חתימות - שרשרת'!H2</f>
        <v>הופץ ב 3.11
אישר ב13.12</v>
      </c>
      <c r="I2" s="15" t="str">
        <f>'[1]סבב חתימות - שרשרת'!I2</f>
        <v>הופץ ב 3.11
החזירה התייחסות ב30.11
הופץ שוב ב24.12</v>
      </c>
      <c r="J2" s="15" t="str">
        <f>'[1]סבב חתימות - שרשרת'!J2</f>
        <v>הופץ ב 3.11
אושר ב12.11</v>
      </c>
      <c r="K2" s="15" t="str">
        <f>'[1]סבב חתימות - שרשרת'!K2</f>
        <v>הופץ ב 3.11
החזירה התייחסות ב8.11
נשלחה אליה התייחסות נוספת ב22.11
החזירה התייחסות ב29.11
הופץ שוב ב24.12
מאושר 31.12.</v>
      </c>
      <c r="L2" s="15" t="str">
        <f>'[1]סבב חתימות - שרשרת'!L2</f>
        <v>הופץ ב 3.11
החזירה התייחסות ב8.11
נשלחה אליה התייחסות נוספת ב22.11
החזירה התייחסות ב29.11
הופץ שוב ב24.12
מאושר 31.12.</v>
      </c>
      <c r="M2" s="15" t="str">
        <f>'[1]סבב חתימות - שרשרת'!M2</f>
        <v>הופץ ב 3.11
החזירה התייחסות ב15.11
נשלחה אליה התייחסות נוספת  ב22.11
הופץ שוב ב24.12
אישרה ב5.1</v>
      </c>
      <c r="N2" s="15">
        <f>'[1]סבב חתימות - שרשרת'!N2</f>
        <v>0</v>
      </c>
      <c r="O2" s="15" t="str">
        <f>'[1]סבב חתימות - שרשרת'!O2</f>
        <v>הופץ ב 3.11
החזיר התייחסות ב15.11
נשלחה לדניאל התייחסות ב23.11
החזיר התייחסות ב24.11
הופץ שוב ב24.12
אישר ב3.1</v>
      </c>
      <c r="P2" s="15" t="str">
        <f>'[1]סבב חתימות - שרשרת'!P2</f>
        <v>הופץ ב 3.11
החזיר התייחסות ב23.12
הופץ שוב ב24.12
אושר ב27.1</v>
      </c>
      <c r="Q2" s="15" t="str">
        <f>'[1]סבב חתימות - שרשרת'!Q2</f>
        <v>הופץ ב 3.11
החזיר התייחסות ב12.11
אישר</v>
      </c>
      <c r="R2" s="15" t="str">
        <f>'[1]סבב חתימות - שרשרת'!R2</f>
        <v>הופץ ב3.1
הוצג ב24.1</v>
      </c>
      <c r="S2" s="15" t="str">
        <f>'[1]סבב חתימות - שרשרת'!S2</f>
        <v>הופץ ב3.1
החזיר התייחסות ב10.1
החזרנו התייחסות ב11.1</v>
      </c>
      <c r="T2" s="15">
        <v>2</v>
      </c>
      <c r="U2" s="15">
        <f>MATCH(B2,'[1]סבב חתימות - שרשרת'!$B:$B,0)</f>
        <v>2</v>
      </c>
    </row>
    <row r="3" spans="1:21" ht="180">
      <c r="A3" s="19" t="s">
        <v>33</v>
      </c>
      <c r="B3" s="20" t="s">
        <v>36</v>
      </c>
      <c r="C3" s="17" t="s">
        <v>35</v>
      </c>
      <c r="D3" s="15">
        <f>'[1]סבב חתימות - שרשרת'!D3</f>
        <v>0</v>
      </c>
      <c r="E3" s="15">
        <f>'[1]סבב חתימות - שרשרת'!E3</f>
        <v>0</v>
      </c>
      <c r="F3" s="15" t="str">
        <f>'[1]סבב חתימות - שרשרת'!F3</f>
        <v>הופץ ב 28.10
החזיר התייחסות ב6.12
נשלח מסמך נוסף לאישור מול דודי 9.12
הופץ שוב ב24.12</v>
      </c>
      <c r="G3" s="15" t="str">
        <f>'[1]סבב חתימות - שרשרת'!G3</f>
        <v>הופץ ב 28.10
החזיר התייחסות ב29.10
אישר ב5.11</v>
      </c>
      <c r="H3" s="15" t="str">
        <f>'[1]סבב חתימות - שרשרת'!H3</f>
        <v>הופץ ב 28.10
החזיר התייחסות ב4.11
אישר ב25.11</v>
      </c>
      <c r="I3" s="15" t="str">
        <f>'[1]סבב חתימות - שרשרת'!I3</f>
        <v>הופץ ב 28.10
החזירה התייחסות ב25.11
הופץ שוב ב24.12</v>
      </c>
      <c r="J3" s="15" t="str">
        <f>'[1]סבב חתימות - שרשרת'!J3</f>
        <v>הופץ ב 28.10
אישר(חלופה 1 העברת אספקה) 26.11</v>
      </c>
      <c r="K3" s="15" t="str">
        <f>'[1]סבב חתימות - שרשרת'!K3</f>
        <v>הופץ ב 28.10
החזירה התייחסות ב29.10
הופץ שוב ב24.12
מאושר 31.12.</v>
      </c>
      <c r="L3" s="15" t="str">
        <f>'[1]סבב חתימות - שרשרת'!L3</f>
        <v>הופץ ב 28.10
החזירה התייחסות ב29.10
הופץ שוב ב24.12
מאושר 31.12.</v>
      </c>
      <c r="M3" s="15" t="str">
        <f>'[1]סבב חתימות - שרשרת'!M3</f>
        <v>הופץ ב 28.10
החזירה התייחסות ב1.11
הופץ שוב ב24.12
אישרה ב3.2</v>
      </c>
      <c r="N3" s="15">
        <f>'[1]סבב חתימות - שרשרת'!N3</f>
        <v>0</v>
      </c>
      <c r="O3" s="15" t="str">
        <f>'[1]סבב חתימות - שרשרת'!O3</f>
        <v>הופץ ב 28.10
החזיר התייחסות ב22.12
הופץ שוב ב24.12
החזירה התייחסות ב24.12</v>
      </c>
      <c r="P3" s="15" t="str">
        <f>'[1]סבב חתימות - שרשרת'!P3</f>
        <v>הופץ ב 28.10
החזיר התייחסות ב10.11
נשלחה לדניאל  התייחסות נוספת ב22.11
החזיר התייחסות ב22.11
הופץ שוב ב24.12
החזרתי התייחסות ב27.12
אושר 27.1</v>
      </c>
      <c r="Q3" s="15" t="str">
        <f>'[1]סבב חתימות - שרשרת'!Q3</f>
        <v>הופץ ב 28.10
אושר ב12.11</v>
      </c>
      <c r="R3" s="15" t="str">
        <f>'[1]סבב חתימות - שרשרת'!R3</f>
        <v>הופץ ב3.1
הוצג ב24.1</v>
      </c>
      <c r="S3" s="15" t="str">
        <f>'[1]סבב חתימות - שרשרת'!S3</f>
        <v>הופץ ב4.1
החזיר התייחסות ב13.1</v>
      </c>
      <c r="T3" s="15">
        <v>3</v>
      </c>
      <c r="U3" s="15">
        <f>MATCH(B3,'[1]סבב חתימות - שרשרת'!$B:$B,0)</f>
        <v>3</v>
      </c>
    </row>
    <row r="4" spans="1:21" ht="165">
      <c r="A4" s="19" t="s">
        <v>33</v>
      </c>
      <c r="B4" s="20" t="s">
        <v>37</v>
      </c>
      <c r="C4" s="17" t="s">
        <v>35</v>
      </c>
      <c r="D4" s="15">
        <f>'[1]סבב חתימות - שרשרת'!D4</f>
        <v>0</v>
      </c>
      <c r="E4" s="15">
        <f>'[1]סבב חתימות - שרשרת'!E4</f>
        <v>0</v>
      </c>
      <c r="F4" s="15" t="str">
        <f>'[1]סבב חתימות - שרשרת'!F4</f>
        <v>הופץ ב 28.10
החזיר התייחסות ב6.12
הופץ שוב ב24.12</v>
      </c>
      <c r="G4" s="15" t="s">
        <v>52</v>
      </c>
      <c r="H4" s="15" t="str">
        <f>'[1]סבב חתימות - שרשרת'!H4</f>
        <v>הופץ ב 28.10
החזיר תשובה ב9.11
אישר ב23.11</v>
      </c>
      <c r="I4" s="15" t="str">
        <f>'[1]סבב חתימות - שרשרת'!I4</f>
        <v>הופץ ב28.10
הופץ שוב ב24.12</v>
      </c>
      <c r="J4" s="15" t="str">
        <f>'[1]סבב חתימות - שרשרת'!J4</f>
        <v>הופץ ב 28.10
אישר ב9.11</v>
      </c>
      <c r="K4" s="15" t="str">
        <f>'[1]סבב חתימות - שרשרת'!K4</f>
        <v>הופץ ב 28.10
החזירה התייחסות ב29.10
הופץ שוב ב24.12
מאושר 31.12.</v>
      </c>
      <c r="L4" s="15" t="str">
        <f>'[1]סבב חתימות - שרשרת'!L4</f>
        <v>הופץ ב 28.10
החזירה התייחסות ב29.10
הופץ שוב ב24.12
מאושר 31.12.</v>
      </c>
      <c r="M4" s="15" t="str">
        <f>'[1]סבב חתימות - שרשרת'!M4</f>
        <v>הופץ ב 28.10
החזירה התייחסות ב15.11
נשלחה אליה התייחסות נוספת ב22.11
הופץ שוב ב24.12
אישרה ב3.2</v>
      </c>
      <c r="N4" s="15">
        <f>'[1]סבב חתימות - שרשרת'!N4</f>
        <v>0</v>
      </c>
      <c r="O4" s="15" t="str">
        <f>'[1]סבב חתימות - שרשרת'!O4</f>
        <v>הופץ ב 28.10
החזיר התייחסות ב22.12
הופץ שוב ב24.12
החזירה התייחסות ב24.12</v>
      </c>
      <c r="P4" s="15" t="str">
        <f>'[1]סבב חתימות - שרשרת'!P4</f>
        <v>הופץ ב 28.10
החזיר התייחסות ב10.11
נשלחה לדניאל  התייחסות נוספת ב22.11
החזיר התייחסות ב22.11
הופץ שוב ב24.12
החזרתי התייחסות ב27.12</v>
      </c>
      <c r="Q4" s="15" t="str">
        <f>'[1]סבב חתימות - שרשרת'!Q4</f>
        <v>הופץ ב 28.10
החזיר התייחסות ב12.11
נשלחה לאריאל  התייחסות נוספת ב22.11
אישר ב23.12 (עם הסתייגות על סטטוס מלאי בדרך ותהליך בירור הפרשים)</v>
      </c>
      <c r="R4" s="15" t="str">
        <f>'[1]סבב חתימות - שרשרת'!R4</f>
        <v>הופץ ב3.1
הוצג ב24.1</v>
      </c>
      <c r="S4" s="15" t="str">
        <f>'[1]סבב חתימות - שרשרת'!S4</f>
        <v>הופץ ב4.1
החזיר התייחסות ב13.1</v>
      </c>
      <c r="T4" s="15">
        <v>4</v>
      </c>
      <c r="U4" s="15">
        <f>MATCH(B4,'[1]סבב חתימות - שרשרת'!$B:$B,0)</f>
        <v>4</v>
      </c>
    </row>
    <row r="5" spans="1:21" ht="30">
      <c r="A5" s="19" t="s">
        <v>33</v>
      </c>
      <c r="B5" s="20" t="s">
        <v>38</v>
      </c>
      <c r="C5" s="17" t="s">
        <v>39</v>
      </c>
      <c r="D5" s="15">
        <f>'[1]סבב חתימות - שרשרת'!D5</f>
        <v>0</v>
      </c>
      <c r="E5" s="15">
        <f>'[1]סבב חתימות - שרשרת'!E5</f>
        <v>0</v>
      </c>
      <c r="F5" s="15" t="str">
        <f>'[1]סבב חתימות - שרשרת'!F5</f>
        <v>נחתם 8/12</v>
      </c>
      <c r="G5" s="15">
        <f>'[1]סבב חתימות - שרשרת'!G5</f>
        <v>0</v>
      </c>
      <c r="H5" s="15" t="str">
        <f>'[1]סבב חתימות - שרשרת'!H5</f>
        <v>נחתם 24/11</v>
      </c>
      <c r="I5" s="15" t="str">
        <f>'[1]סבב חתימות - שרשרת'!I5</f>
        <v>נחתם 23/12</v>
      </c>
      <c r="J5" s="15" t="str">
        <f>'[1]סבב חתימות - שרשרת'!J5</f>
        <v>נחתם 12/11</v>
      </c>
      <c r="K5" s="15">
        <f>'[1]סבב חתימות - שרשרת'!K5</f>
        <v>0</v>
      </c>
      <c r="L5" s="15" t="str">
        <f>'[1]סבב חתימות - שרשרת'!L5</f>
        <v>נחתם 15/11</v>
      </c>
      <c r="M5" s="15" t="str">
        <f>'[1]סבב חתימות - שרשרת'!M5</f>
        <v>נחתם 30/11</v>
      </c>
      <c r="N5" s="15" t="str">
        <f>'[1]סבב חתימות - שרשרת'!N5</f>
        <v>נחתם 30/11</v>
      </c>
      <c r="O5" s="15" t="str">
        <f>'[1]סבב חתימות - שרשרת'!O5</f>
        <v xml:space="preserve">נחתם 24/11 </v>
      </c>
      <c r="P5" s="15" t="str">
        <f>'[1]סבב חתימות - שרשרת'!P5</f>
        <v>נחתם 29/12</v>
      </c>
      <c r="Q5" s="15" t="str">
        <f>'[1]סבב חתימות - שרשרת'!Q5</f>
        <v>נחתם עקרונית 8/12</v>
      </c>
      <c r="R5" s="15" t="str">
        <f>'[1]סבב חתימות - שרשרת'!R5</f>
        <v>הופץ 29/12</v>
      </c>
      <c r="S5" s="15" t="str">
        <f>'[1]סבב חתימות - שרשרת'!S5</f>
        <v>מאושר 31/12</v>
      </c>
      <c r="T5" s="15">
        <v>5</v>
      </c>
      <c r="U5" s="15">
        <f>MATCH(B5,'[1]סבב חתימות - שרשרת'!$B:$B,0)</f>
        <v>5</v>
      </c>
    </row>
    <row r="6" spans="1:21" ht="30">
      <c r="A6" s="19" t="s">
        <v>33</v>
      </c>
      <c r="B6" s="20" t="s">
        <v>40</v>
      </c>
      <c r="C6" s="17" t="s">
        <v>39</v>
      </c>
      <c r="D6" s="15">
        <f>'[1]סבב חתימות - שרשרת'!D6</f>
        <v>0</v>
      </c>
      <c r="E6" s="15">
        <f>'[1]סבב חתימות - שרשרת'!E6</f>
        <v>0</v>
      </c>
      <c r="F6" s="15" t="str">
        <f>'[1]סבב חתימות - שרשרת'!F6</f>
        <v>נחתם 24/12</v>
      </c>
      <c r="G6" s="15">
        <f>'[1]סבב חתימות - שרשרת'!G6</f>
        <v>0</v>
      </c>
      <c r="H6" s="15" t="str">
        <f>'[1]סבב חתימות - שרשרת'!H6</f>
        <v>נחתם 3/12</v>
      </c>
      <c r="I6" s="15" t="str">
        <f>'[1]סבב חתימות - שרשרת'!I6</f>
        <v>הופץ 4 24/12</v>
      </c>
      <c r="J6" s="15">
        <f>'[1]סבב חתימות - שרשרת'!J6</f>
        <v>0</v>
      </c>
      <c r="K6" s="15" t="str">
        <f>'[1]סבב חתימות - שרשרת'!K6</f>
        <v>נחתם 10/12</v>
      </c>
      <c r="L6" s="15" t="str">
        <f>'[1]סבב חתימות - שרשרת'!L6</f>
        <v>נחתם 10/12</v>
      </c>
      <c r="M6" s="15" t="str">
        <f>'[1]סבב חתימות - שרשרת'!M6</f>
        <v>נחתם 20/12</v>
      </c>
      <c r="N6" s="15" t="str">
        <f>'[1]סבב חתימות - שרשרת'!N6</f>
        <v>נחתם 20/12</v>
      </c>
      <c r="O6" s="15" t="str">
        <f>'[1]סבב חתימות - שרשרת'!O6</f>
        <v>נחתם 30/11</v>
      </c>
      <c r="P6" s="15" t="str">
        <f>'[1]סבב חתימות - שרשרת'!P6</f>
        <v>נחתם 29/12</v>
      </c>
      <c r="Q6" s="15" t="str">
        <f>'[1]סבב חתימות - שרשרת'!Q6</f>
        <v>נחתם עקרונית 8/12</v>
      </c>
      <c r="R6" s="15" t="str">
        <f>'[1]סבב חתימות - שרשרת'!R6</f>
        <v>הופץ 29/12</v>
      </c>
      <c r="S6" s="15" t="str">
        <f>'[1]סבב חתימות - שרשרת'!S6</f>
        <v>מאושר 31/12</v>
      </c>
      <c r="T6" s="15">
        <v>6</v>
      </c>
      <c r="U6" s="15">
        <f>MATCH(B6,'[1]סבב חתימות - שרשרת'!$B:$B,0)</f>
        <v>6</v>
      </c>
    </row>
    <row r="7" spans="1:21" ht="30">
      <c r="A7" s="19" t="s">
        <v>33</v>
      </c>
      <c r="B7" s="20" t="s">
        <v>41</v>
      </c>
      <c r="C7" s="17" t="s">
        <v>39</v>
      </c>
      <c r="D7" s="15">
        <f>'[1]סבב חתימות - שרשרת'!D7</f>
        <v>0</v>
      </c>
      <c r="E7" s="15">
        <f>'[1]סבב חתימות - שרשרת'!E7</f>
        <v>0</v>
      </c>
      <c r="F7" s="15" t="str">
        <f>'[1]סבב חתימות - שרשרת'!F7</f>
        <v>נחתם 8/12</v>
      </c>
      <c r="G7" s="15">
        <f>'[1]סבב חתימות - שרשרת'!G7</f>
        <v>0</v>
      </c>
      <c r="H7" s="15" t="str">
        <f>'[1]סבב חתימות - שרשרת'!H7</f>
        <v>נחתם 24/11</v>
      </c>
      <c r="I7" s="15">
        <f>'[1]סבב חתימות - שרשרת'!I7</f>
        <v>0</v>
      </c>
      <c r="J7" s="15" t="str">
        <f>'[1]סבב חתימות - שרשרת'!J7</f>
        <v>נחתם 24/11</v>
      </c>
      <c r="K7" s="15" t="str">
        <f>'[1]סבב חתימות - שרשרת'!K7</f>
        <v>נחתם 18/11</v>
      </c>
      <c r="L7" s="15" t="str">
        <f>'[1]סבב חתימות - שרשרת'!L7</f>
        <v>נחתם 18/11</v>
      </c>
      <c r="M7" s="15" t="str">
        <f>'[1]סבב חתימות - שרשרת'!M7</f>
        <v>נחתם 22/11</v>
      </c>
      <c r="N7" s="15" t="str">
        <f>'[1]סבב חתימות - שרשרת'!N7</f>
        <v>נחתם 22/11</v>
      </c>
      <c r="O7" s="15" t="str">
        <f>'[1]סבב חתימות - שרשרת'!O7</f>
        <v>נחתם 25/11</v>
      </c>
      <c r="P7" s="15" t="str">
        <f>'[1]סבב חתימות - שרשרת'!P7</f>
        <v>נחתם 29/12</v>
      </c>
      <c r="Q7" s="15" t="str">
        <f>'[1]סבב חתימות - שרשרת'!Q7</f>
        <v>נחתם עקרונית 8/12</v>
      </c>
      <c r="R7" s="15" t="str">
        <f>'[1]סבב חתימות - שרשרת'!R7</f>
        <v>הופץ 29/12</v>
      </c>
      <c r="S7" s="15" t="str">
        <f>'[1]סבב חתימות - שרשרת'!S7</f>
        <v>מאושר 31/12</v>
      </c>
      <c r="T7" s="15">
        <v>7</v>
      </c>
      <c r="U7" s="15">
        <f>MATCH(B7,'[1]סבב חתימות - שרשרת'!$B:$B,0)</f>
        <v>7</v>
      </c>
    </row>
    <row r="8" spans="1:21" ht="75">
      <c r="A8" s="19" t="s">
        <v>33</v>
      </c>
      <c r="B8" s="20" t="s">
        <v>42</v>
      </c>
      <c r="C8" s="17" t="s">
        <v>35</v>
      </c>
      <c r="D8" s="15">
        <f>'[1]סבב חתימות - שרשרת'!D8</f>
        <v>0</v>
      </c>
      <c r="E8" s="15">
        <f>'[1]סבב חתימות - שרשרת'!E8</f>
        <v>0</v>
      </c>
      <c r="F8" s="15" t="str">
        <f>'[1]סבב חתימות - שרשרת'!F8</f>
        <v>הופץ ב9.12
הופץ שוב ב24.12</v>
      </c>
      <c r="G8" s="15">
        <f>'[1]סבב חתימות - שרשרת'!G8</f>
        <v>0</v>
      </c>
      <c r="H8" s="15" t="str">
        <f>'[1]סבב חתימות - שרשרת'!H8</f>
        <v>הופץ ב9.12
אישר ב10.12</v>
      </c>
      <c r="I8" s="15">
        <f>'[1]סבב חתימות - שרשרת'!I8</f>
        <v>0</v>
      </c>
      <c r="J8" s="15" t="str">
        <f>'[1]סבב חתימות - שרשרת'!J8</f>
        <v>הופץ ב9.12
הופץ שוב ב24.12
אישר ב27.1</v>
      </c>
      <c r="K8" s="15" t="str">
        <f>'[1]סבב חתימות - שרשרת'!K8</f>
        <v>הופץ ב9.12
אישר ב10.12</v>
      </c>
      <c r="L8" s="15" t="str">
        <f>'[1]סבב חתימות - שרשרת'!L8</f>
        <v>הופץ ב9.12
אישר ב10.12</v>
      </c>
      <c r="M8" s="15" t="str">
        <f>'[1]סבב חתימות - שרשרת'!M8</f>
        <v>הופץ ב9.12
הופץ שוב ב24.12
אישרה ב5.1</v>
      </c>
      <c r="N8" s="15">
        <f>'[1]סבב חתימות - שרשרת'!N8</f>
        <v>0</v>
      </c>
      <c r="O8" s="15" t="str">
        <f>'[1]סבב חתימות - שרשרת'!O8</f>
        <v>הופץ ב9.12
הופץ שוב ב24.12</v>
      </c>
      <c r="P8" s="15" t="str">
        <f>'[1]סבב חתימות - שרשרת'!P8</f>
        <v>הופץ ב9.12
החזיר התייחסות ב23.12
הופץ שוב ב24.12
אושר 27.1</v>
      </c>
      <c r="Q8" s="15" t="str">
        <f>'[1]סבב חתימות - שרשרת'!Q8</f>
        <v>הופץ ב9.12
אישר ב24.12</v>
      </c>
      <c r="R8" s="15" t="str">
        <f>'[1]סבב חתימות - שרשרת'!R8</f>
        <v>הופץ ב3.1</v>
      </c>
      <c r="S8" s="15" t="str">
        <f>'[1]סבב חתימות - שרשרת'!S8</f>
        <v>הופץ ב3.1
החזיר התייחסות ב10.1
החזרנו התייחסות ב11.1</v>
      </c>
      <c r="T8" s="15">
        <v>8</v>
      </c>
      <c r="U8" s="15">
        <f>MATCH(B8,'[1]סבב חתימות - שרשרת'!$B:$B,0)</f>
        <v>8</v>
      </c>
    </row>
    <row r="9" spans="1:21" ht="90">
      <c r="A9" s="19" t="s">
        <v>33</v>
      </c>
      <c r="B9" s="20" t="s">
        <v>43</v>
      </c>
      <c r="C9" s="17" t="s">
        <v>39</v>
      </c>
      <c r="D9" s="15">
        <f>'[1]סבב חתימות - שרשרת'!D9</f>
        <v>0</v>
      </c>
      <c r="E9" s="15">
        <f>'[1]סבב חתימות - שרשרת'!E9</f>
        <v>0</v>
      </c>
      <c r="F9" s="15" t="str">
        <f>'[1]סבב חתימות - שרשרת'!F9</f>
        <v>נחתם 8/12</v>
      </c>
      <c r="G9" s="15">
        <f>'[1]סבב חתימות - שרשרת'!G9</f>
        <v>0</v>
      </c>
      <c r="H9" s="15" t="str">
        <f>'[1]סבב חתימות - שרשרת'!H9</f>
        <v>נחתם 12/11</v>
      </c>
      <c r="I9" s="15" t="str">
        <f>'[1]סבב חתימות - שרשרת'!I9</f>
        <v>הופץ 5 24/12</v>
      </c>
      <c r="J9" s="15" t="str">
        <f>'[1]סבב חתימות - שרשרת'!J9</f>
        <v>נחתם 7/12</v>
      </c>
      <c r="K9" s="15" t="str">
        <f>'[1]סבב חתימות - שרשרת'!K9</f>
        <v>נחתם 8/11</v>
      </c>
      <c r="L9" s="15" t="str">
        <f>'[1]סבב חתימות - שרשרת'!L9</f>
        <v>נחתם 8/11</v>
      </c>
      <c r="M9" s="15" t="str">
        <f>'[1]סבב חתימות - שרשרת'!M9</f>
        <v>נחתם 25/11</v>
      </c>
      <c r="N9" s="15" t="str">
        <f>'[1]סבב חתימות - שרשרת'!N9</f>
        <v>נחתם 25/11</v>
      </c>
      <c r="O9" s="15" t="str">
        <f>'[1]סבב חתימות - שרשרת'!O9</f>
        <v>נחתם 11/11</v>
      </c>
      <c r="P9" s="15" t="str">
        <f>'[1]סבב חתימות - שרשרת'!P9</f>
        <v>נחתם 29/12 פרט להסתייגות בנושא רוורס להחזרה, ההסתייגות מפורטת בטבלת נושאים פתוחים</v>
      </c>
      <c r="Q9" s="15" t="str">
        <f>'[1]סבב חתימות - שרשרת'!Q9</f>
        <v>נחתם 2/11</v>
      </c>
      <c r="R9" s="15" t="str">
        <f>'[1]סבב חתימות - שרשרת'!R9</f>
        <v>הופץ 29/12</v>
      </c>
      <c r="S9" s="15" t="str">
        <f>'[1]סבב חתימות - שרשרת'!S9</f>
        <v>מאושר 31/12</v>
      </c>
      <c r="T9" s="15">
        <v>9</v>
      </c>
      <c r="U9" s="15">
        <f>MATCH(B9,'[1]סבב חתימות - שרשרת'!$B:$B,0)</f>
        <v>9</v>
      </c>
    </row>
    <row r="10" spans="1:21" ht="120">
      <c r="A10" s="19" t="s">
        <v>33</v>
      </c>
      <c r="B10" s="20" t="s">
        <v>44</v>
      </c>
      <c r="C10" s="17" t="s">
        <v>35</v>
      </c>
      <c r="D10" s="15">
        <f>'[1]סבב חתימות - שרשרת'!D10</f>
        <v>0</v>
      </c>
      <c r="E10" s="15">
        <f>'[1]סבב חתימות - שרשרת'!E10</f>
        <v>0</v>
      </c>
      <c r="F10" s="15" t="str">
        <f>'[1]סבב חתימות - שרשרת'!F10</f>
        <v>הופץ ב24.12</v>
      </c>
      <c r="G10" s="15" t="str">
        <f>'[1]סבב חתימות - שרשרת'!G10</f>
        <v>הופץ ב24.12
החזיר התייחסות ב27.12
נשלחה התייחסות לישראל ב3.1
החיר התייחסות ב4.1
אישר ב5.1</v>
      </c>
      <c r="H10" s="15" t="str">
        <f>'[1]סבב חתימות - שרשרת'!H10</f>
        <v>הופץ ב24.12
אישר ב27.12</v>
      </c>
      <c r="I10" s="15" t="str">
        <f>'[1]סבב חתימות - שרשרת'!I10</f>
        <v>הופץ ב24.12</v>
      </c>
      <c r="J10" s="15" t="str">
        <f>'[1]סבב חתימות - שרשרת'!J10</f>
        <v>הופץ ב24.12
אישר ב27.1</v>
      </c>
      <c r="K10" s="15" t="str">
        <f>'[1]סבב חתימות - שרשרת'!K10</f>
        <v>הופץ ב24.12</v>
      </c>
      <c r="L10" s="15" t="str">
        <f>'[1]סבב חתימות - שרשרת'!L10</f>
        <v>הופץ ב24.12</v>
      </c>
      <c r="M10" s="15" t="str">
        <f>'[1]סבב חתימות - שרשרת'!M10</f>
        <v>הופץ ב24.12
אישרה ב27.12</v>
      </c>
      <c r="N10" s="15">
        <f>'[1]סבב חתימות - שרשרת'!N10</f>
        <v>0</v>
      </c>
      <c r="O10" s="15" t="str">
        <f>'[1]סבב חתימות - שרשרת'!O10</f>
        <v>הופץ ב24.12</v>
      </c>
      <c r="P10" s="15" t="str">
        <f>'[1]סבב חתימות - שרשרת'!P10</f>
        <v>הופץ ב23.12
החזיר התייחסות ב23.12
הופץ שוב ב24.12
אושר יל ידי מורן 27.1.21</v>
      </c>
      <c r="Q10" s="15" t="str">
        <f>'[1]סבב חתימות - שרשרת'!Q10</f>
        <v>הופץ ב24.12
אישר ב27.1</v>
      </c>
      <c r="R10" s="15" t="str">
        <f>'[1]סבב חתימות - שרשרת'!R10</f>
        <v>הופץ ב3.1</v>
      </c>
      <c r="S10" s="15" t="str">
        <f>'[1]סבב חתימות - שרשרת'!S10</f>
        <v>הופץ ב3.1
החזיר התייחסות ב10.1
החזרנו התייחסות ב11.1</v>
      </c>
      <c r="T10" s="15">
        <v>10</v>
      </c>
      <c r="U10" s="15">
        <f>MATCH(B10,'[1]סבב חתימות - שרשרת'!$B:$B,0)</f>
        <v>10</v>
      </c>
    </row>
    <row r="11" spans="1:21" ht="120">
      <c r="A11" s="19" t="s">
        <v>33</v>
      </c>
      <c r="B11" s="20" t="s">
        <v>45</v>
      </c>
      <c r="C11" s="17" t="s">
        <v>35</v>
      </c>
      <c r="D11" s="15">
        <f>'[1]סבב חתימות - שרשרת'!D11</f>
        <v>0</v>
      </c>
      <c r="E11" s="15">
        <f>'[1]סבב חתימות - שרשרת'!E11</f>
        <v>0</v>
      </c>
      <c r="F11" s="15" t="str">
        <f>'[1]סבב חתימות - שרשרת'!F11</f>
        <v>הופץ ב1.12
החזיר התייחסות ב6.12
הופץ שוב ב24.12</v>
      </c>
      <c r="G11" s="15">
        <f>'[1]סבב חתימות - שרשרת'!G11</f>
        <v>0</v>
      </c>
      <c r="H11" s="15" t="str">
        <f>'[1]סבב חתימות - שרשרת'!H11</f>
        <v>הופץ ב1.12
אישר ב1.12</v>
      </c>
      <c r="I11" s="15" t="str">
        <f>'[1]סבב חתימות - שרשרת'!I11</f>
        <v>הופץ ב1.12
החזירה תהייחסות ב3.12
הופץ שוב ב24.12
החזירה התייחסות ב27.12
הוחזרה אליה התייחסות ב27.12</v>
      </c>
      <c r="J11" s="15" t="str">
        <f>'[1]סבב חתימות - שרשרת'!J11</f>
        <v>הופץ ב1.12
הופץ שוב ב24.12
אישר ב24.12</v>
      </c>
      <c r="K11" s="15" t="str">
        <f>'[1]סבב חתימות - שרשרת'!K11</f>
        <v>הופץ ב1.12
החזירה התייחסות ב9.12
נשלחה התייחסות נוספת לגלית ב9.12
אישרה</v>
      </c>
      <c r="L11" s="15" t="str">
        <f>'[1]סבב חתימות - שרשרת'!L11</f>
        <v>הופץ ב1.12
החזירה התייחסות ב9.12
נשלחה התייחסות נוספת לגלית ב9.12
אישרה</v>
      </c>
      <c r="M11" s="15" t="str">
        <f>'[1]סבב חתימות - שרשרת'!M11</f>
        <v>הופץ ב1.12
החזירה התייחסות ב1.12
נשלחה התייחסות נוספת ב6.12
אישרה ב24.12</v>
      </c>
      <c r="N11" s="15">
        <f>'[1]סבב חתימות - שרשרת'!N11</f>
        <v>0</v>
      </c>
      <c r="O11" s="15" t="str">
        <f>'[1]סבב חתימות - שרשרת'!O11</f>
        <v>הופץ ב 1.12
החזיר התייחסות ב1.12
נשלחה לדניאל  התייחסות נוספת ב1.12
אישר ב2.12</v>
      </c>
      <c r="P11" s="15" t="str">
        <f>'[1]סבב חתימות - שרשרת'!P11</f>
        <v>הופץ ב1.12
הופץ שוב ב24.12</v>
      </c>
      <c r="Q11" s="15" t="str">
        <f>'[1]סבב חתימות - שרשרת'!Q11</f>
        <v>הופץ ב1.12
אישר ב23.12</v>
      </c>
      <c r="R11" s="15" t="str">
        <f>'[1]סבב חתימות - שרשרת'!R11</f>
        <v>הופץ ב3.1</v>
      </c>
      <c r="S11" s="15" t="str">
        <f>'[1]סבב חתימות - שרשרת'!S11</f>
        <v>הופץ ב3.1
החזיר התייחסות ב10.1
החזרנו התייחסות ב11.1</v>
      </c>
      <c r="T11" s="15">
        <v>11</v>
      </c>
      <c r="U11" s="15">
        <f>MATCH(B11,'[1]סבב חתימות - שרשרת'!$B:$B,0)</f>
        <v>11</v>
      </c>
    </row>
  </sheetData>
  <autoFilter ref="A1:U11"/>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r="http://schemas.microsoft.com/office/spreadsheetml/2014/revision" xmlns:x14ac="http://schemas.microsoft.com/office/spreadsheetml/2009/9/ac" xmlns:xr2="http://schemas.microsoft.com/office/spreadsheetml/2015/revision2" xmlns:xr3="http://schemas.microsoft.com/office/spreadsheetml/2016/revision3" mc:Ignorable="x14ac xr xr2 xr3" xr:uid="{3C1211F7-AB52-4822-B883-01110F076B99}">
  <dimension ref="A1:B5"/>
  <sheetViews>
    <sheetView workbookViewId="0" topLeftCell="A1">
      <selection pane="topLeft" activeCell="D35" sqref="D35"/>
    </sheetView>
  </sheetViews>
  <sheetFormatPr defaultRowHeight="15"/>
  <cols>
    <col min="1" max="1" width="24.4285714285714" customWidth="1"/>
  </cols>
  <sheetData>
    <row r="1" spans="1:2" ht="15">
      <c r="A1" s="21" t="s">
        <v>53</v>
      </c>
      <c r="B1">
        <f>moshe3</f>
        <v>38</v>
      </c>
    </row>
    <row r="2" spans="1:2" ht="15">
      <c r="A2" s="22" t="s">
        <v>54</v>
      </c>
      <c r="B2">
        <f>moshe3</f>
        <v>42</v>
      </c>
    </row>
    <row r="3" spans="1:2" ht="15">
      <c r="A3" s="23" t="s">
        <v>55</v>
      </c>
      <c r="B3">
        <f>moshe3</f>
        <v>44</v>
      </c>
    </row>
    <row r="4" spans="1:2" ht="15">
      <c r="A4" s="24" t="s">
        <v>56</v>
      </c>
      <c r="B4">
        <f>moshe3</f>
        <v>43</v>
      </c>
    </row>
    <row r="5" spans="1:2" ht="15">
      <c r="A5" s="25" t="s">
        <v>57</v>
      </c>
      <c r="B5">
        <f>moshe3</f>
        <v>15</v>
      </c>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
  <AppVersion>14.0300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category/>
</cp:coreProperties>
</file>